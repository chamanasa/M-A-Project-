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hruvjain/Downloads/"/>
    </mc:Choice>
  </mc:AlternateContent>
  <xr:revisionPtr revIDLastSave="0" documentId="13_ncr:1_{162772FB-B805-9E43-8D30-63F928AA2C21}" xr6:coauthVersionLast="47" xr6:coauthVersionMax="47" xr10:uidLastSave="{00000000-0000-0000-0000-000000000000}"/>
  <bookViews>
    <workbookView xWindow="0" yWindow="0" windowWidth="28800" windowHeight="18000" tabRatio="500" activeTab="8" xr2:uid="{00000000-000D-0000-FFFF-FFFF00000000}"/>
  </bookViews>
  <sheets>
    <sheet name="Summary" sheetId="1" r:id="rId1"/>
    <sheet name="Inputs" sheetId="2" r:id="rId2"/>
    <sheet name="Market" sheetId="3" r:id="rId3"/>
    <sheet name="Business Plan &amp; DCF" sheetId="4" r:id="rId4"/>
    <sheet name="Synergies" sheetId="5" r:id="rId5"/>
    <sheet name="Precedents" sheetId="6" r:id="rId6"/>
    <sheet name="Accretion" sheetId="7" r:id="rId7"/>
    <sheet name="Sensitivity" sheetId="8" r:id="rId8"/>
    <sheet name="Football Field" sheetId="9" r:id="rId9"/>
    <sheet name="Sources" sheetId="10" r:id="rId10"/>
    <sheet name="SensCalc" sheetId="11" state="hidden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4" i="11" l="1"/>
  <c r="C74" i="11"/>
  <c r="B74" i="11"/>
  <c r="I72" i="11"/>
  <c r="H72" i="11"/>
  <c r="E72" i="11"/>
  <c r="D71" i="11"/>
  <c r="E71" i="11" s="1"/>
  <c r="C71" i="11"/>
  <c r="B71" i="11"/>
  <c r="G72" i="11" s="1"/>
  <c r="I69" i="11"/>
  <c r="J69" i="11" s="1"/>
  <c r="K69" i="11" s="1"/>
  <c r="L69" i="11" s="1"/>
  <c r="M69" i="11" s="1"/>
  <c r="N69" i="11" s="1"/>
  <c r="G69" i="11"/>
  <c r="D68" i="11"/>
  <c r="C68" i="11"/>
  <c r="B68" i="11"/>
  <c r="G66" i="11"/>
  <c r="F66" i="11"/>
  <c r="D65" i="11"/>
  <c r="C65" i="11"/>
  <c r="B65" i="11"/>
  <c r="D62" i="11"/>
  <c r="C62" i="11"/>
  <c r="B62" i="11"/>
  <c r="H60" i="11"/>
  <c r="G60" i="11"/>
  <c r="E60" i="11"/>
  <c r="D59" i="11"/>
  <c r="E59" i="11" s="1"/>
  <c r="C59" i="11"/>
  <c r="B59" i="11"/>
  <c r="F60" i="11" s="1"/>
  <c r="D56" i="11"/>
  <c r="C56" i="11"/>
  <c r="B56" i="11"/>
  <c r="D53" i="11"/>
  <c r="C53" i="11"/>
  <c r="B53" i="11"/>
  <c r="H51" i="11"/>
  <c r="D50" i="11"/>
  <c r="C50" i="11"/>
  <c r="B50" i="11"/>
  <c r="H48" i="11"/>
  <c r="G48" i="11"/>
  <c r="E48" i="11"/>
  <c r="D47" i="11"/>
  <c r="E47" i="11" s="1"/>
  <c r="C47" i="11"/>
  <c r="B47" i="11"/>
  <c r="F48" i="11" s="1"/>
  <c r="D44" i="11"/>
  <c r="C44" i="11"/>
  <c r="B44" i="11"/>
  <c r="I42" i="11"/>
  <c r="H42" i="11"/>
  <c r="D41" i="11"/>
  <c r="C41" i="11"/>
  <c r="B41" i="11"/>
  <c r="E42" i="11" s="1"/>
  <c r="I39" i="11"/>
  <c r="H39" i="11"/>
  <c r="G39" i="11"/>
  <c r="F39" i="11"/>
  <c r="D38" i="11"/>
  <c r="C38" i="11"/>
  <c r="B38" i="11"/>
  <c r="E39" i="11" s="1"/>
  <c r="E38" i="11" s="1"/>
  <c r="H36" i="11"/>
  <c r="G36" i="11"/>
  <c r="E36" i="11"/>
  <c r="D35" i="11"/>
  <c r="E35" i="11" s="1"/>
  <c r="E37" i="11" s="1"/>
  <c r="C35" i="11"/>
  <c r="B35" i="11"/>
  <c r="F36" i="11" s="1"/>
  <c r="I33" i="11"/>
  <c r="G33" i="11"/>
  <c r="D32" i="11"/>
  <c r="C32" i="11"/>
  <c r="B32" i="11"/>
  <c r="I30" i="11"/>
  <c r="H30" i="11"/>
  <c r="G30" i="11"/>
  <c r="F30" i="11"/>
  <c r="D29" i="11"/>
  <c r="E29" i="11" s="1"/>
  <c r="C29" i="11"/>
  <c r="B29" i="11"/>
  <c r="E30" i="11" s="1"/>
  <c r="E28" i="11"/>
  <c r="I27" i="11"/>
  <c r="H27" i="11"/>
  <c r="G27" i="11"/>
  <c r="F27" i="11"/>
  <c r="E27" i="11"/>
  <c r="E26" i="11"/>
  <c r="F26" i="11" s="1"/>
  <c r="D26" i="11"/>
  <c r="C26" i="11"/>
  <c r="B26" i="11"/>
  <c r="H24" i="11"/>
  <c r="G24" i="11"/>
  <c r="E24" i="11"/>
  <c r="D23" i="11"/>
  <c r="E23" i="11" s="1"/>
  <c r="C23" i="11"/>
  <c r="B23" i="11"/>
  <c r="F24" i="11" s="1"/>
  <c r="I21" i="11"/>
  <c r="G21" i="11"/>
  <c r="D20" i="11"/>
  <c r="C20" i="11"/>
  <c r="B20" i="11"/>
  <c r="G18" i="11"/>
  <c r="F18" i="11"/>
  <c r="D17" i="11"/>
  <c r="C17" i="11"/>
  <c r="B17" i="11"/>
  <c r="D14" i="11"/>
  <c r="C14" i="11"/>
  <c r="B14" i="11"/>
  <c r="H12" i="11"/>
  <c r="G12" i="11"/>
  <c r="F12" i="11"/>
  <c r="E12" i="11"/>
  <c r="D11" i="11"/>
  <c r="E11" i="11" s="1"/>
  <c r="E13" i="11" s="1"/>
  <c r="C11" i="11"/>
  <c r="B11" i="11"/>
  <c r="I12" i="11" s="1"/>
  <c r="J9" i="11"/>
  <c r="K9" i="11" s="1"/>
  <c r="L9" i="11" s="1"/>
  <c r="M9" i="11" s="1"/>
  <c r="N9" i="11" s="1"/>
  <c r="I9" i="11"/>
  <c r="H9" i="11"/>
  <c r="G9" i="11"/>
  <c r="F9" i="11"/>
  <c r="D8" i="11"/>
  <c r="C8" i="11"/>
  <c r="B8" i="11"/>
  <c r="E9" i="11" s="1"/>
  <c r="E8" i="11" s="1"/>
  <c r="I6" i="11"/>
  <c r="J6" i="11" s="1"/>
  <c r="K6" i="11" s="1"/>
  <c r="L6" i="11" s="1"/>
  <c r="M6" i="11" s="1"/>
  <c r="N6" i="11" s="1"/>
  <c r="H6" i="11"/>
  <c r="D5" i="11"/>
  <c r="C5" i="11"/>
  <c r="B5" i="11"/>
  <c r="D10" i="9"/>
  <c r="C10" i="9"/>
  <c r="E10" i="9" s="1"/>
  <c r="C14" i="8"/>
  <c r="C32" i="7"/>
  <c r="E26" i="7"/>
  <c r="F23" i="7"/>
  <c r="E23" i="7"/>
  <c r="D23" i="7"/>
  <c r="F16" i="7"/>
  <c r="F26" i="7" s="1"/>
  <c r="E16" i="7"/>
  <c r="D16" i="7"/>
  <c r="C6" i="7"/>
  <c r="C12" i="7" s="1"/>
  <c r="F23" i="6"/>
  <c r="C8" i="1" s="1"/>
  <c r="F22" i="6"/>
  <c r="F21" i="6"/>
  <c r="F24" i="6" s="1"/>
  <c r="G14" i="6"/>
  <c r="H14" i="6" s="1"/>
  <c r="F14" i="6"/>
  <c r="H12" i="6"/>
  <c r="F18" i="6" s="1"/>
  <c r="C8" i="9" s="1"/>
  <c r="H11" i="6"/>
  <c r="G18" i="6" s="1"/>
  <c r="H10" i="6"/>
  <c r="H18" i="6" s="1"/>
  <c r="D8" i="9" s="1"/>
  <c r="H9" i="6"/>
  <c r="H8" i="6"/>
  <c r="H7" i="6"/>
  <c r="H6" i="6"/>
  <c r="C11" i="5"/>
  <c r="C7" i="5"/>
  <c r="D7" i="5" s="1"/>
  <c r="E7" i="5" s="1"/>
  <c r="F7" i="5" s="1"/>
  <c r="I6" i="5"/>
  <c r="J6" i="5" s="1"/>
  <c r="H6" i="5"/>
  <c r="G6" i="5"/>
  <c r="F6" i="5"/>
  <c r="E6" i="5"/>
  <c r="D6" i="5"/>
  <c r="D8" i="5" s="1"/>
  <c r="C6" i="5"/>
  <c r="C8" i="5" s="1"/>
  <c r="J49" i="4"/>
  <c r="K49" i="4" s="1"/>
  <c r="L49" i="4" s="1"/>
  <c r="M49" i="4" s="1"/>
  <c r="I49" i="4"/>
  <c r="H49" i="4"/>
  <c r="G49" i="4"/>
  <c r="F49" i="4"/>
  <c r="E49" i="4"/>
  <c r="D49" i="4"/>
  <c r="C49" i="4"/>
  <c r="C48" i="4"/>
  <c r="H47" i="4"/>
  <c r="I47" i="4" s="1"/>
  <c r="J47" i="4" s="1"/>
  <c r="K47" i="4" s="1"/>
  <c r="L47" i="4" s="1"/>
  <c r="M47" i="4" s="1"/>
  <c r="G47" i="4"/>
  <c r="F47" i="4"/>
  <c r="E47" i="4"/>
  <c r="D47" i="4"/>
  <c r="I31" i="4"/>
  <c r="J31" i="4" s="1"/>
  <c r="K31" i="4" s="1"/>
  <c r="L31" i="4" s="1"/>
  <c r="M31" i="4" s="1"/>
  <c r="H31" i="4"/>
  <c r="G31" i="4"/>
  <c r="F31" i="4"/>
  <c r="E31" i="4"/>
  <c r="D31" i="4"/>
  <c r="C31" i="4"/>
  <c r="C30" i="4"/>
  <c r="H29" i="4"/>
  <c r="I29" i="4" s="1"/>
  <c r="J29" i="4" s="1"/>
  <c r="K29" i="4" s="1"/>
  <c r="L29" i="4" s="1"/>
  <c r="M29" i="4" s="1"/>
  <c r="G29" i="4"/>
  <c r="F29" i="4"/>
  <c r="E29" i="4"/>
  <c r="D29" i="4"/>
  <c r="I13" i="4"/>
  <c r="J13" i="4" s="1"/>
  <c r="K13" i="4" s="1"/>
  <c r="L13" i="4" s="1"/>
  <c r="M13" i="4" s="1"/>
  <c r="H13" i="4"/>
  <c r="G13" i="4"/>
  <c r="F13" i="4"/>
  <c r="E13" i="4"/>
  <c r="D13" i="4"/>
  <c r="C13" i="4"/>
  <c r="C12" i="4"/>
  <c r="H11" i="4"/>
  <c r="G11" i="4"/>
  <c r="F11" i="4"/>
  <c r="E11" i="4"/>
  <c r="D11" i="4"/>
  <c r="C7" i="4"/>
  <c r="C6" i="4"/>
  <c r="E37" i="3"/>
  <c r="D37" i="3"/>
  <c r="C37" i="3"/>
  <c r="C30" i="3"/>
  <c r="C32" i="3" s="1"/>
  <c r="C29" i="3"/>
  <c r="C18" i="3"/>
  <c r="C17" i="3"/>
  <c r="D17" i="3" s="1"/>
  <c r="C16" i="3"/>
  <c r="C15" i="3"/>
  <c r="C14" i="3"/>
  <c r="D8" i="3"/>
  <c r="E8" i="3" s="1"/>
  <c r="C8" i="3"/>
  <c r="C7" i="3"/>
  <c r="C13" i="3" s="1"/>
  <c r="D14" i="3" s="1"/>
  <c r="C36" i="2"/>
  <c r="C7" i="7" s="1"/>
  <c r="B22" i="1"/>
  <c r="E18" i="1"/>
  <c r="C10" i="1"/>
  <c r="C9" i="1"/>
  <c r="C7" i="1"/>
  <c r="B23" i="1" s="1"/>
  <c r="C6" i="1"/>
  <c r="K6" i="5" l="1"/>
  <c r="E9" i="3"/>
  <c r="F8" i="3"/>
  <c r="G8" i="3" s="1"/>
  <c r="H8" i="3" s="1"/>
  <c r="D9" i="5"/>
  <c r="D14" i="5"/>
  <c r="C31" i="3"/>
  <c r="E73" i="11"/>
  <c r="D15" i="3"/>
  <c r="B25" i="1" s="1"/>
  <c r="C18" i="1"/>
  <c r="D16" i="3"/>
  <c r="D30" i="4"/>
  <c r="C33" i="4"/>
  <c r="C32" i="4"/>
  <c r="C34" i="4" s="1"/>
  <c r="C35" i="4" s="1"/>
  <c r="C15" i="4"/>
  <c r="C14" i="4"/>
  <c r="C16" i="4" s="1"/>
  <c r="C17" i="4" s="1"/>
  <c r="C51" i="4"/>
  <c r="C50" i="4"/>
  <c r="C52" i="4" s="1"/>
  <c r="C53" i="4" s="1"/>
  <c r="D48" i="4"/>
  <c r="D12" i="4"/>
  <c r="C9" i="5"/>
  <c r="C14" i="5"/>
  <c r="G7" i="5"/>
  <c r="F8" i="5"/>
  <c r="E8" i="9"/>
  <c r="D20" i="7"/>
  <c r="F20" i="7"/>
  <c r="E20" i="7"/>
  <c r="F8" i="11"/>
  <c r="E10" i="11"/>
  <c r="F59" i="11"/>
  <c r="E61" i="11"/>
  <c r="H63" i="11"/>
  <c r="G63" i="11"/>
  <c r="F63" i="11"/>
  <c r="I63" i="11"/>
  <c r="J63" i="11" s="1"/>
  <c r="K63" i="11" s="1"/>
  <c r="L63" i="11" s="1"/>
  <c r="M63" i="11" s="1"/>
  <c r="N63" i="11" s="1"/>
  <c r="E8" i="5"/>
  <c r="C8" i="7"/>
  <c r="C9" i="7" s="1"/>
  <c r="E44" i="11"/>
  <c r="E56" i="11"/>
  <c r="D18" i="1"/>
  <c r="F11" i="11"/>
  <c r="D18" i="3"/>
  <c r="C10" i="7"/>
  <c r="C11" i="7" s="1"/>
  <c r="H15" i="11"/>
  <c r="G15" i="11"/>
  <c r="I15" i="11"/>
  <c r="J15" i="11" s="1"/>
  <c r="K15" i="11" s="1"/>
  <c r="L15" i="11" s="1"/>
  <c r="M15" i="11" s="1"/>
  <c r="N15" i="11" s="1"/>
  <c r="E15" i="11"/>
  <c r="E14" i="11" s="1"/>
  <c r="F23" i="11"/>
  <c r="E25" i="11"/>
  <c r="G26" i="11"/>
  <c r="F28" i="11"/>
  <c r="E63" i="11"/>
  <c r="E62" i="11" s="1"/>
  <c r="F29" i="11"/>
  <c r="E31" i="11"/>
  <c r="C9" i="9"/>
  <c r="D9" i="9"/>
  <c r="F6" i="11"/>
  <c r="E6" i="11"/>
  <c r="E5" i="11" s="1"/>
  <c r="G6" i="11"/>
  <c r="E40" i="11"/>
  <c r="F38" i="11"/>
  <c r="J42" i="11"/>
  <c r="K42" i="11" s="1"/>
  <c r="L42" i="11" s="1"/>
  <c r="M42" i="11" s="1"/>
  <c r="N42" i="11" s="1"/>
  <c r="E75" i="11"/>
  <c r="I75" i="11"/>
  <c r="J75" i="11" s="1"/>
  <c r="K75" i="11" s="1"/>
  <c r="L75" i="11" s="1"/>
  <c r="M75" i="11" s="1"/>
  <c r="N75" i="11" s="1"/>
  <c r="H75" i="11"/>
  <c r="G75" i="11"/>
  <c r="F75" i="11"/>
  <c r="D26" i="7"/>
  <c r="J33" i="11"/>
  <c r="K33" i="11" s="1"/>
  <c r="L33" i="11" s="1"/>
  <c r="M33" i="11" s="1"/>
  <c r="N33" i="11" s="1"/>
  <c r="F15" i="11"/>
  <c r="H45" i="11"/>
  <c r="F45" i="11"/>
  <c r="E45" i="11"/>
  <c r="G45" i="11"/>
  <c r="I45" i="11"/>
  <c r="J45" i="11" s="1"/>
  <c r="K45" i="11" s="1"/>
  <c r="L45" i="11" s="1"/>
  <c r="M45" i="11" s="1"/>
  <c r="N45" i="11" s="1"/>
  <c r="H57" i="11"/>
  <c r="F57" i="11"/>
  <c r="E57" i="11"/>
  <c r="I57" i="11"/>
  <c r="J57" i="11" s="1"/>
  <c r="K57" i="11" s="1"/>
  <c r="L57" i="11" s="1"/>
  <c r="M57" i="11" s="1"/>
  <c r="N57" i="11" s="1"/>
  <c r="G57" i="11"/>
  <c r="E74" i="11"/>
  <c r="I11" i="4"/>
  <c r="J11" i="4" s="1"/>
  <c r="K11" i="4" s="1"/>
  <c r="L11" i="4" s="1"/>
  <c r="M11" i="4" s="1"/>
  <c r="E54" i="11"/>
  <c r="E53" i="11" s="1"/>
  <c r="H54" i="11"/>
  <c r="G54" i="11"/>
  <c r="F54" i="11"/>
  <c r="I54" i="11"/>
  <c r="J54" i="11" s="1"/>
  <c r="K54" i="11" s="1"/>
  <c r="L54" i="11" s="1"/>
  <c r="M54" i="11" s="1"/>
  <c r="N54" i="11" s="1"/>
  <c r="J21" i="11"/>
  <c r="K21" i="11" s="1"/>
  <c r="L21" i="11" s="1"/>
  <c r="M21" i="11" s="1"/>
  <c r="N21" i="11" s="1"/>
  <c r="J39" i="11"/>
  <c r="K39" i="11" s="1"/>
  <c r="L39" i="11" s="1"/>
  <c r="M39" i="11" s="1"/>
  <c r="N39" i="11" s="1"/>
  <c r="F35" i="11"/>
  <c r="F51" i="11"/>
  <c r="E51" i="11"/>
  <c r="E50" i="11" s="1"/>
  <c r="G51" i="11"/>
  <c r="I51" i="11"/>
  <c r="J51" i="11" s="1"/>
  <c r="K51" i="11" s="1"/>
  <c r="L51" i="11" s="1"/>
  <c r="M51" i="11" s="1"/>
  <c r="N51" i="11" s="1"/>
  <c r="E66" i="11"/>
  <c r="E65" i="11" s="1"/>
  <c r="I66" i="11"/>
  <c r="J66" i="11" s="1"/>
  <c r="K66" i="11" s="1"/>
  <c r="L66" i="11" s="1"/>
  <c r="M66" i="11" s="1"/>
  <c r="N66" i="11" s="1"/>
  <c r="H66" i="11"/>
  <c r="J72" i="11"/>
  <c r="K72" i="11" s="1"/>
  <c r="L72" i="11" s="1"/>
  <c r="M72" i="11" s="1"/>
  <c r="N72" i="11" s="1"/>
  <c r="E18" i="11"/>
  <c r="E17" i="11" s="1"/>
  <c r="I18" i="11"/>
  <c r="J18" i="11" s="1"/>
  <c r="K18" i="11" s="1"/>
  <c r="L18" i="11" s="1"/>
  <c r="M18" i="11" s="1"/>
  <c r="N18" i="11" s="1"/>
  <c r="H18" i="11"/>
  <c r="J30" i="11"/>
  <c r="K30" i="11" s="1"/>
  <c r="L30" i="11" s="1"/>
  <c r="M30" i="11" s="1"/>
  <c r="N30" i="11" s="1"/>
  <c r="F47" i="11"/>
  <c r="E49" i="11"/>
  <c r="J12" i="11"/>
  <c r="K12" i="11" s="1"/>
  <c r="L12" i="11" s="1"/>
  <c r="M12" i="11" s="1"/>
  <c r="N12" i="11" s="1"/>
  <c r="H21" i="11"/>
  <c r="F21" i="11"/>
  <c r="E21" i="11"/>
  <c r="E20" i="11" s="1"/>
  <c r="E41" i="11"/>
  <c r="G42" i="11"/>
  <c r="H69" i="11"/>
  <c r="F69" i="11"/>
  <c r="E69" i="11"/>
  <c r="E68" i="11" s="1"/>
  <c r="J27" i="11"/>
  <c r="K27" i="11" s="1"/>
  <c r="L27" i="11" s="1"/>
  <c r="M27" i="11" s="1"/>
  <c r="N27" i="11" s="1"/>
  <c r="H33" i="11"/>
  <c r="F33" i="11"/>
  <c r="E33" i="11"/>
  <c r="E32" i="11" s="1"/>
  <c r="F42" i="11"/>
  <c r="I24" i="11"/>
  <c r="J24" i="11" s="1"/>
  <c r="K24" i="11" s="1"/>
  <c r="L24" i="11" s="1"/>
  <c r="M24" i="11" s="1"/>
  <c r="N24" i="11" s="1"/>
  <c r="I36" i="11"/>
  <c r="J36" i="11" s="1"/>
  <c r="K36" i="11" s="1"/>
  <c r="L36" i="11" s="1"/>
  <c r="M36" i="11" s="1"/>
  <c r="N36" i="11" s="1"/>
  <c r="I48" i="11"/>
  <c r="J48" i="11" s="1"/>
  <c r="K48" i="11" s="1"/>
  <c r="L48" i="11" s="1"/>
  <c r="M48" i="11" s="1"/>
  <c r="N48" i="11" s="1"/>
  <c r="I60" i="11"/>
  <c r="J60" i="11" s="1"/>
  <c r="K60" i="11" s="1"/>
  <c r="L60" i="11" s="1"/>
  <c r="M60" i="11" s="1"/>
  <c r="N60" i="11" s="1"/>
  <c r="F72" i="11"/>
  <c r="F71" i="11" s="1"/>
  <c r="F73" i="11" l="1"/>
  <c r="G71" i="11"/>
  <c r="F17" i="11"/>
  <c r="E19" i="11"/>
  <c r="F53" i="11"/>
  <c r="E55" i="11"/>
  <c r="E7" i="11"/>
  <c r="F5" i="11"/>
  <c r="E70" i="11"/>
  <c r="F68" i="11"/>
  <c r="F65" i="11"/>
  <c r="E67" i="11"/>
  <c r="E22" i="11"/>
  <c r="F20" i="11"/>
  <c r="F14" i="11"/>
  <c r="E16" i="11"/>
  <c r="E58" i="11"/>
  <c r="F56" i="11"/>
  <c r="C25" i="4"/>
  <c r="C19" i="1" s="1"/>
  <c r="D15" i="4"/>
  <c r="D14" i="4"/>
  <c r="D16" i="4" s="1"/>
  <c r="D17" i="4" s="1"/>
  <c r="D18" i="4" s="1"/>
  <c r="D19" i="4" s="1"/>
  <c r="E12" i="4"/>
  <c r="C10" i="5"/>
  <c r="C12" i="5" s="1"/>
  <c r="C13" i="5" s="1"/>
  <c r="C43" i="4"/>
  <c r="D19" i="1" s="1"/>
  <c r="D33" i="4"/>
  <c r="D32" i="4"/>
  <c r="D34" i="4" s="1"/>
  <c r="D35" i="4" s="1"/>
  <c r="E30" i="4"/>
  <c r="E52" i="11"/>
  <c r="F50" i="11"/>
  <c r="G38" i="11"/>
  <c r="F40" i="11"/>
  <c r="E46" i="11"/>
  <c r="F44" i="11"/>
  <c r="D50" i="4"/>
  <c r="D51" i="4"/>
  <c r="E48" i="4"/>
  <c r="C61" i="4"/>
  <c r="E19" i="1" s="1"/>
  <c r="G29" i="11"/>
  <c r="F31" i="11"/>
  <c r="F37" i="11"/>
  <c r="G35" i="11"/>
  <c r="F62" i="11"/>
  <c r="E64" i="11"/>
  <c r="F74" i="11"/>
  <c r="E76" i="11"/>
  <c r="F19" i="7"/>
  <c r="E19" i="7"/>
  <c r="D19" i="7"/>
  <c r="F24" i="7"/>
  <c r="E24" i="7"/>
  <c r="D24" i="7"/>
  <c r="F14" i="5"/>
  <c r="F9" i="5"/>
  <c r="F49" i="11"/>
  <c r="G47" i="11"/>
  <c r="H26" i="11"/>
  <c r="G28" i="11"/>
  <c r="E14" i="5"/>
  <c r="E9" i="5"/>
  <c r="G59" i="11"/>
  <c r="F61" i="11"/>
  <c r="H7" i="5"/>
  <c r="G8" i="5"/>
  <c r="L6" i="5"/>
  <c r="F13" i="11"/>
  <c r="G11" i="11"/>
  <c r="E34" i="11"/>
  <c r="F32" i="11"/>
  <c r="F41" i="11"/>
  <c r="E43" i="11"/>
  <c r="E9" i="9"/>
  <c r="G23" i="11"/>
  <c r="F25" i="11"/>
  <c r="G8" i="11"/>
  <c r="F10" i="11"/>
  <c r="D18" i="7" l="1"/>
  <c r="C15" i="5"/>
  <c r="C16" i="5" s="1"/>
  <c r="G14" i="11"/>
  <c r="F16" i="11"/>
  <c r="G41" i="11"/>
  <c r="F43" i="11"/>
  <c r="G40" i="11"/>
  <c r="H38" i="11"/>
  <c r="E15" i="4"/>
  <c r="F12" i="4"/>
  <c r="E14" i="4"/>
  <c r="E16" i="4" s="1"/>
  <c r="E17" i="4" s="1"/>
  <c r="E18" i="4" s="1"/>
  <c r="E19" i="4" s="1"/>
  <c r="F22" i="11"/>
  <c r="G20" i="11"/>
  <c r="F34" i="11"/>
  <c r="G32" i="11"/>
  <c r="I26" i="11"/>
  <c r="H28" i="11"/>
  <c r="G62" i="11"/>
  <c r="F64" i="11"/>
  <c r="E50" i="4"/>
  <c r="E51" i="4"/>
  <c r="F48" i="4"/>
  <c r="G50" i="11"/>
  <c r="F52" i="11"/>
  <c r="G53" i="11"/>
  <c r="F55" i="11"/>
  <c r="G14" i="5"/>
  <c r="G9" i="5"/>
  <c r="G49" i="11"/>
  <c r="H47" i="11"/>
  <c r="G37" i="11"/>
  <c r="H35" i="11"/>
  <c r="G10" i="11"/>
  <c r="H8" i="11"/>
  <c r="I7" i="5"/>
  <c r="H8" i="5"/>
  <c r="D52" i="4"/>
  <c r="D53" i="4" s="1"/>
  <c r="D54" i="4" s="1"/>
  <c r="D55" i="4" s="1"/>
  <c r="E33" i="4"/>
  <c r="E32" i="4"/>
  <c r="F30" i="4"/>
  <c r="D10" i="5"/>
  <c r="D12" i="5" s="1"/>
  <c r="D13" i="5" s="1"/>
  <c r="G65" i="11"/>
  <c r="F67" i="11"/>
  <c r="G17" i="11"/>
  <c r="F19" i="11"/>
  <c r="F46" i="11"/>
  <c r="G44" i="11"/>
  <c r="D17" i="7"/>
  <c r="D36" i="4"/>
  <c r="D37" i="4" s="1"/>
  <c r="F58" i="11"/>
  <c r="G56" i="11"/>
  <c r="F70" i="11"/>
  <c r="G68" i="11"/>
  <c r="G73" i="11"/>
  <c r="H71" i="11"/>
  <c r="G25" i="11"/>
  <c r="H23" i="11"/>
  <c r="G13" i="11"/>
  <c r="H11" i="11"/>
  <c r="G61" i="11"/>
  <c r="H59" i="11"/>
  <c r="G74" i="11"/>
  <c r="F76" i="11"/>
  <c r="H29" i="11"/>
  <c r="G31" i="11"/>
  <c r="F7" i="11"/>
  <c r="G5" i="11"/>
  <c r="I59" i="11" l="1"/>
  <c r="H61" i="11"/>
  <c r="H68" i="11"/>
  <c r="G70" i="11"/>
  <c r="F51" i="4"/>
  <c r="F50" i="4"/>
  <c r="F52" i="4" s="1"/>
  <c r="F53" i="4" s="1"/>
  <c r="F54" i="4" s="1"/>
  <c r="F55" i="4" s="1"/>
  <c r="G48" i="4"/>
  <c r="H32" i="11"/>
  <c r="G34" i="11"/>
  <c r="H40" i="11"/>
  <c r="I38" i="11"/>
  <c r="H14" i="11"/>
  <c r="G16" i="11"/>
  <c r="H74" i="11"/>
  <c r="G76" i="11"/>
  <c r="H13" i="11"/>
  <c r="I11" i="11"/>
  <c r="H56" i="11"/>
  <c r="G58" i="11"/>
  <c r="H17" i="11"/>
  <c r="G19" i="11"/>
  <c r="I35" i="11"/>
  <c r="H37" i="11"/>
  <c r="E52" i="4"/>
  <c r="E53" i="4" s="1"/>
  <c r="E54" i="4" s="1"/>
  <c r="E55" i="4" s="1"/>
  <c r="H5" i="11"/>
  <c r="G7" i="11"/>
  <c r="H9" i="5"/>
  <c r="H14" i="5"/>
  <c r="H53" i="11"/>
  <c r="G55" i="11"/>
  <c r="H20" i="11"/>
  <c r="G22" i="11"/>
  <c r="I23" i="11"/>
  <c r="H25" i="11"/>
  <c r="H65" i="11"/>
  <c r="G67" i="11"/>
  <c r="I8" i="5"/>
  <c r="J7" i="5"/>
  <c r="I47" i="11"/>
  <c r="H49" i="11"/>
  <c r="H62" i="11"/>
  <c r="G64" i="11"/>
  <c r="D21" i="7"/>
  <c r="E18" i="7"/>
  <c r="D15" i="5"/>
  <c r="D16" i="5" s="1"/>
  <c r="H10" i="11"/>
  <c r="I8" i="11"/>
  <c r="G43" i="11"/>
  <c r="H41" i="11"/>
  <c r="I71" i="11"/>
  <c r="H73" i="11"/>
  <c r="H44" i="11"/>
  <c r="G46" i="11"/>
  <c r="F33" i="4"/>
  <c r="F32" i="4"/>
  <c r="F34" i="4" s="1"/>
  <c r="F35" i="4" s="1"/>
  <c r="G30" i="4"/>
  <c r="E10" i="5"/>
  <c r="E12" i="5" s="1"/>
  <c r="E13" i="5" s="1"/>
  <c r="I28" i="11"/>
  <c r="J26" i="11"/>
  <c r="G12" i="4"/>
  <c r="F15" i="4"/>
  <c r="F14" i="4"/>
  <c r="F16" i="4" s="1"/>
  <c r="F17" i="4" s="1"/>
  <c r="F18" i="4" s="1"/>
  <c r="F19" i="4" s="1"/>
  <c r="H31" i="11"/>
  <c r="I29" i="11"/>
  <c r="E34" i="4"/>
  <c r="E35" i="4" s="1"/>
  <c r="G52" i="11"/>
  <c r="H50" i="11"/>
  <c r="J71" i="11" l="1"/>
  <c r="I73" i="11"/>
  <c r="D27" i="7"/>
  <c r="D28" i="7" s="1"/>
  <c r="D29" i="7"/>
  <c r="H55" i="11"/>
  <c r="I53" i="11"/>
  <c r="J35" i="11"/>
  <c r="I37" i="11"/>
  <c r="H34" i="11"/>
  <c r="I32" i="11"/>
  <c r="J29" i="11"/>
  <c r="I31" i="11"/>
  <c r="E15" i="5"/>
  <c r="E16" i="5" s="1"/>
  <c r="F18" i="7"/>
  <c r="H43" i="11"/>
  <c r="I41" i="11"/>
  <c r="H67" i="11"/>
  <c r="I65" i="11"/>
  <c r="G50" i="4"/>
  <c r="H48" i="4"/>
  <c r="G51" i="4"/>
  <c r="F10" i="5"/>
  <c r="F12" i="5" s="1"/>
  <c r="F13" i="5" s="1"/>
  <c r="F15" i="5" s="1"/>
  <c r="F16" i="5" s="1"/>
  <c r="G33" i="4"/>
  <c r="H30" i="4"/>
  <c r="G32" i="4"/>
  <c r="G34" i="4" s="1"/>
  <c r="G35" i="4" s="1"/>
  <c r="G36" i="4" s="1"/>
  <c r="G37" i="4" s="1"/>
  <c r="H19" i="11"/>
  <c r="I17" i="11"/>
  <c r="H76" i="11"/>
  <c r="I74" i="11"/>
  <c r="F36" i="4"/>
  <c r="F37" i="4" s="1"/>
  <c r="F17" i="7"/>
  <c r="H64" i="11"/>
  <c r="I62" i="11"/>
  <c r="I10" i="11"/>
  <c r="J8" i="11"/>
  <c r="J23" i="11"/>
  <c r="I25" i="11"/>
  <c r="I5" i="11"/>
  <c r="H7" i="11"/>
  <c r="I56" i="11"/>
  <c r="H58" i="11"/>
  <c r="H16" i="11"/>
  <c r="I14" i="11"/>
  <c r="H52" i="11"/>
  <c r="I50" i="11"/>
  <c r="G15" i="4"/>
  <c r="G14" i="4"/>
  <c r="G16" i="4" s="1"/>
  <c r="G17" i="4" s="1"/>
  <c r="G18" i="4" s="1"/>
  <c r="G19" i="4" s="1"/>
  <c r="H12" i="4"/>
  <c r="J47" i="11"/>
  <c r="I49" i="11"/>
  <c r="J11" i="11"/>
  <c r="I13" i="11"/>
  <c r="I40" i="11"/>
  <c r="J38" i="11"/>
  <c r="I68" i="11"/>
  <c r="H70" i="11"/>
  <c r="J28" i="11"/>
  <c r="K26" i="11"/>
  <c r="H46" i="11"/>
  <c r="I44" i="11"/>
  <c r="K7" i="5"/>
  <c r="J8" i="5"/>
  <c r="I20" i="11"/>
  <c r="H22" i="11"/>
  <c r="E17" i="7"/>
  <c r="E36" i="4"/>
  <c r="E37" i="4" s="1"/>
  <c r="I14" i="5"/>
  <c r="I9" i="5"/>
  <c r="J59" i="11"/>
  <c r="I61" i="11"/>
  <c r="K23" i="11" l="1"/>
  <c r="J25" i="11"/>
  <c r="J65" i="11"/>
  <c r="I67" i="11"/>
  <c r="I34" i="11"/>
  <c r="J32" i="11"/>
  <c r="D30" i="7"/>
  <c r="J20" i="11"/>
  <c r="I22" i="11"/>
  <c r="K47" i="11"/>
  <c r="J49" i="11"/>
  <c r="I16" i="11"/>
  <c r="J14" i="11"/>
  <c r="J10" i="11"/>
  <c r="K8" i="11"/>
  <c r="I76" i="11"/>
  <c r="J74" i="11"/>
  <c r="H32" i="4"/>
  <c r="H33" i="4"/>
  <c r="I30" i="4"/>
  <c r="G10" i="5"/>
  <c r="G12" i="5" s="1"/>
  <c r="G13" i="5" s="1"/>
  <c r="G15" i="5" s="1"/>
  <c r="G16" i="5" s="1"/>
  <c r="C21" i="5"/>
  <c r="J14" i="5"/>
  <c r="J9" i="5"/>
  <c r="J68" i="11"/>
  <c r="I70" i="11"/>
  <c r="I43" i="11"/>
  <c r="J41" i="11"/>
  <c r="J73" i="11"/>
  <c r="K71" i="11"/>
  <c r="L7" i="5"/>
  <c r="L8" i="5" s="1"/>
  <c r="K8" i="5"/>
  <c r="J40" i="11"/>
  <c r="K38" i="11"/>
  <c r="J17" i="11"/>
  <c r="I19" i="11"/>
  <c r="K35" i="11"/>
  <c r="J37" i="11"/>
  <c r="I46" i="11"/>
  <c r="J44" i="11"/>
  <c r="H14" i="4"/>
  <c r="H16" i="4" s="1"/>
  <c r="H17" i="4" s="1"/>
  <c r="H18" i="4" s="1"/>
  <c r="H19" i="4" s="1"/>
  <c r="I12" i="4"/>
  <c r="H15" i="4"/>
  <c r="I58" i="11"/>
  <c r="J56" i="11"/>
  <c r="I64" i="11"/>
  <c r="J62" i="11"/>
  <c r="I55" i="11"/>
  <c r="J53" i="11"/>
  <c r="E21" i="7"/>
  <c r="E30" i="8"/>
  <c r="C28" i="8"/>
  <c r="F27" i="8"/>
  <c r="C27" i="8"/>
  <c r="F30" i="8"/>
  <c r="D31" i="8"/>
  <c r="D28" i="8"/>
  <c r="D29" i="8"/>
  <c r="D27" i="8"/>
  <c r="F31" i="8"/>
  <c r="C30" i="8"/>
  <c r="F28" i="8"/>
  <c r="E31" i="8"/>
  <c r="C31" i="8"/>
  <c r="D30" i="8"/>
  <c r="E29" i="8"/>
  <c r="E28" i="8"/>
  <c r="E27" i="8"/>
  <c r="C29" i="8"/>
  <c r="F29" i="8"/>
  <c r="K28" i="11"/>
  <c r="L26" i="11"/>
  <c r="J13" i="11"/>
  <c r="K11" i="11"/>
  <c r="J5" i="11"/>
  <c r="I7" i="11"/>
  <c r="F21" i="7"/>
  <c r="I48" i="4"/>
  <c r="H51" i="4"/>
  <c r="H50" i="4"/>
  <c r="H52" i="4" s="1"/>
  <c r="H53" i="4" s="1"/>
  <c r="H54" i="4" s="1"/>
  <c r="H55" i="4" s="1"/>
  <c r="K59" i="11"/>
  <c r="J61" i="11"/>
  <c r="I52" i="11"/>
  <c r="J50" i="11"/>
  <c r="G52" i="4"/>
  <c r="G53" i="4" s="1"/>
  <c r="G54" i="4" s="1"/>
  <c r="G55" i="4" s="1"/>
  <c r="K29" i="11"/>
  <c r="J31" i="11"/>
  <c r="F29" i="7" l="1"/>
  <c r="F27" i="7"/>
  <c r="F28" i="7" s="1"/>
  <c r="F30" i="7" s="1"/>
  <c r="J55" i="11"/>
  <c r="K53" i="11"/>
  <c r="K40" i="11"/>
  <c r="L38" i="11"/>
  <c r="J16" i="11"/>
  <c r="K14" i="11"/>
  <c r="K32" i="11"/>
  <c r="J34" i="11"/>
  <c r="J52" i="11"/>
  <c r="K50" i="11"/>
  <c r="K44" i="11"/>
  <c r="J46" i="11"/>
  <c r="J30" i="4"/>
  <c r="H10" i="5"/>
  <c r="H12" i="5" s="1"/>
  <c r="H13" i="5" s="1"/>
  <c r="H15" i="5" s="1"/>
  <c r="H16" i="5" s="1"/>
  <c r="I33" i="4"/>
  <c r="I32" i="4"/>
  <c r="K5" i="11"/>
  <c r="J7" i="11"/>
  <c r="J64" i="11"/>
  <c r="K62" i="11"/>
  <c r="K14" i="5"/>
  <c r="K9" i="5"/>
  <c r="K68" i="11"/>
  <c r="J70" i="11"/>
  <c r="L11" i="11"/>
  <c r="K13" i="11"/>
  <c r="E29" i="7"/>
  <c r="E27" i="7"/>
  <c r="E28" i="7" s="1"/>
  <c r="L9" i="5"/>
  <c r="L14" i="5"/>
  <c r="H34" i="4"/>
  <c r="H35" i="4" s="1"/>
  <c r="H36" i="4" s="1"/>
  <c r="H37" i="4" s="1"/>
  <c r="K49" i="11"/>
  <c r="L47" i="11"/>
  <c r="J67" i="11"/>
  <c r="K65" i="11"/>
  <c r="K61" i="11"/>
  <c r="L59" i="11"/>
  <c r="K56" i="11"/>
  <c r="J58" i="11"/>
  <c r="L35" i="11"/>
  <c r="K37" i="11"/>
  <c r="K73" i="11"/>
  <c r="L71" i="11"/>
  <c r="J76" i="11"/>
  <c r="K74" i="11"/>
  <c r="M26" i="11"/>
  <c r="L28" i="11"/>
  <c r="K20" i="11"/>
  <c r="J22" i="11"/>
  <c r="L23" i="11"/>
  <c r="K25" i="11"/>
  <c r="L29" i="11"/>
  <c r="K31" i="11"/>
  <c r="K17" i="11"/>
  <c r="J19" i="11"/>
  <c r="J43" i="11"/>
  <c r="K41" i="11"/>
  <c r="L8" i="11"/>
  <c r="K10" i="11"/>
  <c r="I51" i="4"/>
  <c r="J48" i="4"/>
  <c r="I50" i="4"/>
  <c r="I52" i="4" s="1"/>
  <c r="I53" i="4" s="1"/>
  <c r="I54" i="4" s="1"/>
  <c r="I55" i="4" s="1"/>
  <c r="I15" i="4"/>
  <c r="J12" i="4"/>
  <c r="I14" i="4"/>
  <c r="O26" i="11" l="1"/>
  <c r="F8" i="8" s="1"/>
  <c r="E30" i="7"/>
  <c r="B26" i="1"/>
  <c r="K55" i="11"/>
  <c r="L53" i="11"/>
  <c r="L20" i="11"/>
  <c r="K22" i="11"/>
  <c r="L49" i="11"/>
  <c r="M47" i="11"/>
  <c r="K64" i="11"/>
  <c r="L62" i="11"/>
  <c r="K48" i="4"/>
  <c r="J51" i="4"/>
  <c r="J50" i="4"/>
  <c r="J52" i="4" s="1"/>
  <c r="J53" i="4" s="1"/>
  <c r="J54" i="4" s="1"/>
  <c r="J55" i="4" s="1"/>
  <c r="K19" i="11"/>
  <c r="L17" i="11"/>
  <c r="L37" i="11"/>
  <c r="M35" i="11"/>
  <c r="J32" i="4"/>
  <c r="I10" i="5"/>
  <c r="I12" i="5" s="1"/>
  <c r="I13" i="5" s="1"/>
  <c r="I15" i="5" s="1"/>
  <c r="I16" i="5" s="1"/>
  <c r="K30" i="4"/>
  <c r="J33" i="4"/>
  <c r="L32" i="11"/>
  <c r="K34" i="11"/>
  <c r="M28" i="11"/>
  <c r="N26" i="11"/>
  <c r="N28" i="11" s="1"/>
  <c r="L13" i="11"/>
  <c r="M11" i="11"/>
  <c r="K16" i="11"/>
  <c r="L14" i="11"/>
  <c r="K58" i="11"/>
  <c r="L56" i="11"/>
  <c r="K7" i="11"/>
  <c r="L5" i="11"/>
  <c r="M29" i="11"/>
  <c r="L31" i="11"/>
  <c r="K76" i="11"/>
  <c r="L74" i="11"/>
  <c r="L61" i="11"/>
  <c r="M59" i="11"/>
  <c r="L68" i="11"/>
  <c r="K70" i="11"/>
  <c r="L44" i="11"/>
  <c r="K46" i="11"/>
  <c r="M38" i="11"/>
  <c r="L40" i="11"/>
  <c r="I16" i="4"/>
  <c r="I17" i="4" s="1"/>
  <c r="I18" i="4" s="1"/>
  <c r="I19" i="4" s="1"/>
  <c r="M8" i="11"/>
  <c r="L10" i="11"/>
  <c r="K12" i="4"/>
  <c r="J15" i="4"/>
  <c r="J14" i="4"/>
  <c r="J16" i="4" s="1"/>
  <c r="J17" i="4" s="1"/>
  <c r="J18" i="4" s="1"/>
  <c r="J19" i="4" s="1"/>
  <c r="L41" i="11"/>
  <c r="K43" i="11"/>
  <c r="L25" i="11"/>
  <c r="M23" i="11"/>
  <c r="L73" i="11"/>
  <c r="M71" i="11"/>
  <c r="K67" i="11"/>
  <c r="L65" i="11"/>
  <c r="I34" i="4"/>
  <c r="I35" i="4" s="1"/>
  <c r="I36" i="4" s="1"/>
  <c r="I37" i="4" s="1"/>
  <c r="K52" i="11"/>
  <c r="L50" i="11"/>
  <c r="O11" i="11" l="1"/>
  <c r="E7" i="8" s="1"/>
  <c r="O71" i="11"/>
  <c r="E12" i="8" s="1"/>
  <c r="N38" i="11"/>
  <c r="N40" i="11" s="1"/>
  <c r="M40" i="11"/>
  <c r="M25" i="11"/>
  <c r="N23" i="11"/>
  <c r="N25" i="11" s="1"/>
  <c r="O23" i="11" s="1"/>
  <c r="E8" i="8" s="1"/>
  <c r="M13" i="11"/>
  <c r="N11" i="11"/>
  <c r="N13" i="11" s="1"/>
  <c r="L30" i="4"/>
  <c r="J10" i="5"/>
  <c r="J12" i="5" s="1"/>
  <c r="J13" i="5" s="1"/>
  <c r="J15" i="5" s="1"/>
  <c r="J16" i="5" s="1"/>
  <c r="K33" i="4"/>
  <c r="K32" i="4"/>
  <c r="K34" i="4" s="1"/>
  <c r="K35" i="4" s="1"/>
  <c r="K36" i="4" s="1"/>
  <c r="K37" i="4" s="1"/>
  <c r="L22" i="11"/>
  <c r="M20" i="11"/>
  <c r="M50" i="11"/>
  <c r="L52" i="11"/>
  <c r="M44" i="11"/>
  <c r="L46" i="11"/>
  <c r="M31" i="11"/>
  <c r="N29" i="11"/>
  <c r="N31" i="11" s="1"/>
  <c r="L7" i="11"/>
  <c r="M5" i="11"/>
  <c r="J34" i="4"/>
  <c r="J35" i="4" s="1"/>
  <c r="J36" i="4" s="1"/>
  <c r="J37" i="4" s="1"/>
  <c r="K51" i="4"/>
  <c r="K50" i="4"/>
  <c r="K52" i="4" s="1"/>
  <c r="K53" i="4" s="1"/>
  <c r="K54" i="4" s="1"/>
  <c r="K55" i="4" s="1"/>
  <c r="L48" i="4"/>
  <c r="M53" i="11"/>
  <c r="L55" i="11"/>
  <c r="M41" i="11"/>
  <c r="L43" i="11"/>
  <c r="L70" i="11"/>
  <c r="M68" i="11"/>
  <c r="M62" i="11"/>
  <c r="L64" i="11"/>
  <c r="M65" i="11"/>
  <c r="L67" i="11"/>
  <c r="N8" i="11"/>
  <c r="N10" i="11" s="1"/>
  <c r="M10" i="11"/>
  <c r="O8" i="11" s="1"/>
  <c r="D7" i="8" s="1"/>
  <c r="M61" i="11"/>
  <c r="O59" i="11" s="1"/>
  <c r="E11" i="8" s="1"/>
  <c r="N59" i="11"/>
  <c r="N61" i="11" s="1"/>
  <c r="L58" i="11"/>
  <c r="M56" i="11"/>
  <c r="N35" i="11"/>
  <c r="N37" i="11" s="1"/>
  <c r="M37" i="11"/>
  <c r="O35" i="11" s="1"/>
  <c r="E9" i="8" s="1"/>
  <c r="M49" i="11"/>
  <c r="N47" i="11"/>
  <c r="N49" i="11" s="1"/>
  <c r="O47" i="11" s="1"/>
  <c r="E10" i="8" s="1"/>
  <c r="M73" i="11"/>
  <c r="N71" i="11"/>
  <c r="N73" i="11" s="1"/>
  <c r="K14" i="4"/>
  <c r="K15" i="4"/>
  <c r="L12" i="4"/>
  <c r="O38" i="11"/>
  <c r="F9" i="8" s="1"/>
  <c r="L76" i="11"/>
  <c r="M74" i="11"/>
  <c r="M14" i="11"/>
  <c r="L16" i="11"/>
  <c r="M32" i="11"/>
  <c r="L34" i="11"/>
  <c r="M17" i="11"/>
  <c r="L19" i="11"/>
  <c r="O44" i="11" l="1"/>
  <c r="D10" i="8" s="1"/>
  <c r="M43" i="11"/>
  <c r="N41" i="11"/>
  <c r="N43" i="11" s="1"/>
  <c r="M19" i="11"/>
  <c r="N17" i="11"/>
  <c r="N19" i="11" s="1"/>
  <c r="O17" i="11" s="1"/>
  <c r="C8" i="8" s="1"/>
  <c r="L15" i="4"/>
  <c r="L14" i="4"/>
  <c r="L16" i="4" s="1"/>
  <c r="L17" i="4" s="1"/>
  <c r="L18" i="4" s="1"/>
  <c r="L19" i="4" s="1"/>
  <c r="M12" i="4"/>
  <c r="M67" i="11"/>
  <c r="O65" i="11" s="1"/>
  <c r="C12" i="8" s="1"/>
  <c r="N65" i="11"/>
  <c r="N67" i="11" s="1"/>
  <c r="M58" i="11"/>
  <c r="N56" i="11"/>
  <c r="N58" i="11" s="1"/>
  <c r="M55" i="11"/>
  <c r="O53" i="11" s="1"/>
  <c r="C11" i="8" s="1"/>
  <c r="N53" i="11"/>
  <c r="N55" i="11" s="1"/>
  <c r="O29" i="11"/>
  <c r="C9" i="8" s="1"/>
  <c r="M34" i="11"/>
  <c r="O32" i="11" s="1"/>
  <c r="D9" i="8" s="1"/>
  <c r="N32" i="11"/>
  <c r="N34" i="11" s="1"/>
  <c r="K16" i="4"/>
  <c r="K17" i="4" s="1"/>
  <c r="K18" i="4" s="1"/>
  <c r="K19" i="4" s="1"/>
  <c r="O56" i="11"/>
  <c r="D11" i="8" s="1"/>
  <c r="M64" i="11"/>
  <c r="O62" i="11" s="1"/>
  <c r="F11" i="8" s="1"/>
  <c r="N62" i="11"/>
  <c r="N64" i="11" s="1"/>
  <c r="L50" i="4"/>
  <c r="L51" i="4"/>
  <c r="M48" i="4"/>
  <c r="M70" i="11"/>
  <c r="N68" i="11"/>
  <c r="N70" i="11" s="1"/>
  <c r="M46" i="11"/>
  <c r="N44" i="11"/>
  <c r="N46" i="11" s="1"/>
  <c r="M30" i="4"/>
  <c r="L33" i="4"/>
  <c r="K10" i="5"/>
  <c r="K12" i="5" s="1"/>
  <c r="K13" i="5" s="1"/>
  <c r="K15" i="5" s="1"/>
  <c r="K16" i="5" s="1"/>
  <c r="L32" i="4"/>
  <c r="L34" i="4" s="1"/>
  <c r="L35" i="4" s="1"/>
  <c r="L36" i="4" s="1"/>
  <c r="L37" i="4" s="1"/>
  <c r="M16" i="11"/>
  <c r="N14" i="11"/>
  <c r="N16" i="11" s="1"/>
  <c r="M76" i="11"/>
  <c r="N74" i="11"/>
  <c r="N76" i="11" s="1"/>
  <c r="N50" i="11"/>
  <c r="N52" i="11" s="1"/>
  <c r="M52" i="11"/>
  <c r="O50" i="11" s="1"/>
  <c r="F10" i="8" s="1"/>
  <c r="N5" i="11"/>
  <c r="N7" i="11" s="1"/>
  <c r="M7" i="11"/>
  <c r="O5" i="11" s="1"/>
  <c r="C7" i="8" s="1"/>
  <c r="M22" i="11"/>
  <c r="O20" i="11" s="1"/>
  <c r="D8" i="8" s="1"/>
  <c r="N20" i="11"/>
  <c r="N22" i="11" s="1"/>
  <c r="M51" i="4" l="1"/>
  <c r="M50" i="4"/>
  <c r="M52" i="4" s="1"/>
  <c r="M53" i="4" s="1"/>
  <c r="M54" i="4" s="1"/>
  <c r="O41" i="11"/>
  <c r="C10" i="8" s="1"/>
  <c r="L52" i="4"/>
  <c r="L53" i="4" s="1"/>
  <c r="L54" i="4" s="1"/>
  <c r="L55" i="4" s="1"/>
  <c r="M15" i="4"/>
  <c r="M14" i="4"/>
  <c r="M16" i="4" s="1"/>
  <c r="M17" i="4" s="1"/>
  <c r="M18" i="4" s="1"/>
  <c r="L10" i="5"/>
  <c r="L12" i="5" s="1"/>
  <c r="L13" i="5" s="1"/>
  <c r="L15" i="5" s="1"/>
  <c r="M33" i="4"/>
  <c r="M32" i="4"/>
  <c r="M34" i="4" s="1"/>
  <c r="M35" i="4" s="1"/>
  <c r="M36" i="4" s="1"/>
  <c r="O74" i="11"/>
  <c r="F12" i="8" s="1"/>
  <c r="O14" i="11"/>
  <c r="F7" i="8" s="1"/>
  <c r="O68" i="11"/>
  <c r="D12" i="8" s="1"/>
  <c r="C19" i="5" l="1"/>
  <c r="L16" i="5"/>
  <c r="C18" i="5" s="1"/>
  <c r="C20" i="5" s="1"/>
  <c r="M19" i="4"/>
  <c r="C20" i="4" s="1"/>
  <c r="C22" i="4" s="1"/>
  <c r="C21" i="4"/>
  <c r="C57" i="4"/>
  <c r="M55" i="4"/>
  <c r="C56" i="4" s="1"/>
  <c r="C58" i="4" s="1"/>
  <c r="M37" i="4"/>
  <c r="C38" i="4" s="1"/>
  <c r="C40" i="4" s="1"/>
  <c r="C39" i="4"/>
  <c r="F22" i="8" l="1"/>
  <c r="E23" i="8"/>
  <c r="F21" i="8"/>
  <c r="C20" i="8"/>
  <c r="E18" i="8"/>
  <c r="D23" i="8"/>
  <c r="E21" i="8"/>
  <c r="G19" i="8"/>
  <c r="D18" i="8"/>
  <c r="D14" i="1"/>
  <c r="F23" i="8"/>
  <c r="G21" i="8"/>
  <c r="D20" i="8"/>
  <c r="F18" i="8"/>
  <c r="C23" i="8"/>
  <c r="F20" i="8"/>
  <c r="G22" i="8"/>
  <c r="E20" i="8"/>
  <c r="D7" i="9"/>
  <c r="E22" i="8"/>
  <c r="F19" i="8"/>
  <c r="C7" i="9"/>
  <c r="D22" i="8"/>
  <c r="E19" i="8"/>
  <c r="G20" i="8"/>
  <c r="D19" i="8"/>
  <c r="C19" i="8"/>
  <c r="G18" i="8"/>
  <c r="C41" i="4"/>
  <c r="G23" i="8"/>
  <c r="C18" i="8"/>
  <c r="C22" i="8"/>
  <c r="D21" i="8"/>
  <c r="C21" i="8"/>
  <c r="C42" i="4"/>
  <c r="C6" i="9"/>
  <c r="C59" i="4"/>
  <c r="E14" i="1"/>
  <c r="E16" i="1" s="1"/>
  <c r="E17" i="1" s="1"/>
  <c r="C60" i="4"/>
  <c r="C23" i="4"/>
  <c r="D6" i="9"/>
  <c r="E6" i="9" s="1"/>
  <c r="C14" i="1"/>
  <c r="C24" i="4"/>
  <c r="E15" i="1"/>
  <c r="D15" i="1"/>
  <c r="C15" i="1"/>
  <c r="E7" i="9" l="1"/>
  <c r="C16" i="1"/>
  <c r="D16" i="1"/>
  <c r="D17" i="1" s="1"/>
  <c r="C17" i="1" l="1"/>
  <c r="B24" i="1"/>
</calcChain>
</file>

<file path=xl/sharedStrings.xml><?xml version="1.0" encoding="utf-8"?>
<sst xmlns="http://schemas.openxmlformats.org/spreadsheetml/2006/main" count="487" uniqueCount="350">
  <si>
    <t>Tata Consumer x Capital Foods (Ching's Secret): Commercial Due Diligence &amp; Valuation</t>
  </si>
  <si>
    <t>Deal snapshot</t>
  </si>
  <si>
    <t>Enterprise value paid (100%)</t>
  </si>
  <si>
    <t>EV / FY24E net sales</t>
  </si>
  <si>
    <t>EV / FY24E EBITDA</t>
  </si>
  <si>
    <t>Precedent median EV / sales (4 Indian FMCG deals)</t>
  </si>
  <si>
    <t>TCPL's own market cap / sales</t>
  </si>
  <si>
    <t>Valuation verdict</t>
  </si>
  <si>
    <t>Management</t>
  </si>
  <si>
    <t>Base</t>
  </si>
  <si>
    <t>Downside</t>
  </si>
  <si>
    <t>Standalone DCF value</t>
  </si>
  <si>
    <t>Plus: value of synergies</t>
  </si>
  <si>
    <t>Value to TCPL</t>
  </si>
  <si>
    <t>Value created / (overpaid) vs. Rs 5,100 cr</t>
  </si>
  <si>
    <t>FY25-29 revenue CAGR in case</t>
  </si>
  <si>
    <t>FY25 plan vs. FY25 actual revenue</t>
  </si>
  <si>
    <t>Key findings (numbers update with the model)</t>
  </si>
  <si>
    <t>How to use</t>
  </si>
  <si>
    <t>Edit blue cells on 'Inputs' only; yellow cells are the main levers (case switch, synergies, debt cost, funding mix).</t>
  </si>
  <si>
    <t>Facts tagged [n] are sourced (see 'Sources'); everything else is an analyst assumption and is labelled as such.</t>
  </si>
  <si>
    <t>Sheets: Market &gt; Business Plan &amp; DCF &gt; Synergies &gt; Precedents &gt; Accretion &gt; Sensitivity &gt; Football Field.</t>
  </si>
  <si>
    <t>Colour legend</t>
  </si>
  <si>
    <t>Blue: hardcoded input</t>
  </si>
  <si>
    <t>Black: formula</t>
  </si>
  <si>
    <t>Green: link to another sheet</t>
  </si>
  <si>
    <t>Yellow fill: key lever</t>
  </si>
  <si>
    <t>Green fill: key output</t>
  </si>
  <si>
    <t>Inputs &amp; Assumptions</t>
  </si>
  <si>
    <t>Blue = hardcoded input; yellow = key lever. [n] = sourced fact (see Sources); 'Analyst assumption' = my estimate, flex it. Rs. crore unless stated.</t>
  </si>
  <si>
    <t>Deal terms</t>
  </si>
  <si>
    <t>Enterprise value paid for 100% of Capital Foods</t>
  </si>
  <si>
    <t>Rs. cr</t>
  </si>
  <si>
    <t>[1] [2] 75% upfront, balance 25% within 3 years; all-cash</t>
  </si>
  <si>
    <t>Stake acquired upfront</t>
  </si>
  <si>
    <t>[1] Model consolidates 100% (balance stake committed within 3 years)</t>
  </si>
  <si>
    <t>TCPL share price at announcement (12 Jan 2024)</t>
  </si>
  <si>
    <t>Rs.</t>
  </si>
  <si>
    <t>[3]</t>
  </si>
  <si>
    <t>Capital Foods net revenue, FY24E</t>
  </si>
  <si>
    <t>[1] ~Rs 750 cr net (Rs 936 cr gross); deal = 6.8x FY24E net sales</t>
  </si>
  <si>
    <t>Capital Foods revenue, FY23 (actual)</t>
  </si>
  <si>
    <t>[2]</t>
  </si>
  <si>
    <t>Capital Foods revenue, FY25 (actual, post-deal)</t>
  </si>
  <si>
    <t>[7]</t>
  </si>
  <si>
    <t>Capital Foods profit, FY25 (actual)</t>
  </si>
  <si>
    <t>Capital Foods EBITDA margin, FY24E</t>
  </si>
  <si>
    <t>[1] '20%+'; 20% used as a conservative floor</t>
  </si>
  <si>
    <t>Capital Foods gross margin</t>
  </si>
  <si>
    <t>[1] ~50%</t>
  </si>
  <si>
    <t>Exports as % of Capital Foods revenue</t>
  </si>
  <si>
    <t>[1] ~17%</t>
  </si>
  <si>
    <t>Market (Capital Foods' relevant categories)</t>
  </si>
  <si>
    <t>Relevant market size, 2022</t>
  </si>
  <si>
    <t>[1] Chutneys, Chinese sauces, instant noodles, blended masalas, GGP, soups</t>
  </si>
  <si>
    <t>Relevant market size, 2027F</t>
  </si>
  <si>
    <t>[1]</t>
  </si>
  <si>
    <t>Capital Foods retail reach</t>
  </si>
  <si>
    <t>mn outlets</t>
  </si>
  <si>
    <t>[1] ~0.35-0.4 mn stores (Nielsen urban reach, Jan 2023)</t>
  </si>
  <si>
    <t>TCPL retail reach</t>
  </si>
  <si>
    <t>[1] FY23</t>
  </si>
  <si>
    <t>Acquirer: Tata Consumer Products (TCPL)</t>
  </si>
  <si>
    <t>TCPL revenue, FY24</t>
  </si>
  <si>
    <t>[5]</t>
  </si>
  <si>
    <t>TCPL EBITDA, FY24</t>
  </si>
  <si>
    <t>TCPL consolidated net profit, FY24</t>
  </si>
  <si>
    <t>[6]</t>
  </si>
  <si>
    <t>TCPL market capitalisation (5 Jan 2024)</t>
  </si>
  <si>
    <t>[1] ~Rs 1 lakh cr</t>
  </si>
  <si>
    <t>TCPL shares outstanding pre-rights</t>
  </si>
  <si>
    <t>crore</t>
  </si>
  <si>
    <t>Derived from [4]: 3.66 cr rights shares at a 1:26 ratio</t>
  </si>
  <si>
    <t>TCPL standalone net profit growth p.a.</t>
  </si>
  <si>
    <t>Analyst assumption</t>
  </si>
  <si>
    <t>Tax rate</t>
  </si>
  <si>
    <t>Approximates India's 25.17% concessional regime</t>
  </si>
  <si>
    <t>Funding (TCPL raised Rs 6,500 cr for Rs 7,000 cr of deals)</t>
  </si>
  <si>
    <t>Rights issue size</t>
  </si>
  <si>
    <t>[3] [4]</t>
  </si>
  <si>
    <t>Rights issue price</t>
  </si>
  <si>
    <t>[4] 35% discount to market</t>
  </si>
  <si>
    <t>Combined EV of both deals (Capital Foods + Organic India)</t>
  </si>
  <si>
    <t>Share of Capital Foods price funded by equity</t>
  </si>
  <si>
    <t>Pro rata allocation of the rights issue across the two deals</t>
  </si>
  <si>
    <t>Pre-tax cost of acquisition debt (CP / NCD)</t>
  </si>
  <si>
    <t>Analyst assumption: AAA commercial paper yields in early 2024</t>
  </si>
  <si>
    <t>Share of EV allocated to amortisable intangibles</t>
  </si>
  <si>
    <t>Analyst assumption; brands with indefinite life and goodwill are not amortised (Ind AS 38/103)</t>
  </si>
  <si>
    <t>Amortisation life</t>
  </si>
  <si>
    <t>years</t>
  </si>
  <si>
    <t>One-off integration cost (FY25)</t>
  </si>
  <si>
    <t>Valuation</t>
  </si>
  <si>
    <t>Risk-free rate (India 10Y G-Sec, Jan 2024)</t>
  </si>
  <si>
    <t>Approximate yield at announcement</t>
  </si>
  <si>
    <t>Beta</t>
  </si>
  <si>
    <t>Analyst assumption: Indian staples betas typically 0.5-0.7</t>
  </si>
  <si>
    <t>Equity risk premium</t>
  </si>
  <si>
    <t>Terminal growth</t>
  </si>
  <si>
    <t>Analyst assumption: long-run nominal growth for Indian packaged foods</t>
  </si>
  <si>
    <t>D&amp;A as % of revenue</t>
  </si>
  <si>
    <t>Analyst assumption (asset-light; 3 owned + 4 third-party plants [1])</t>
  </si>
  <si>
    <t>Capex as % of revenue</t>
  </si>
  <si>
    <t>Net working capital as % of incremental revenue</t>
  </si>
  <si>
    <t>Case used in Accretion sheet (1 = Management, 2 = Base, 3 = Downside)</t>
  </si>
  <si>
    <t>Switch</t>
  </si>
  <si>
    <t>Business plan cases: FY25-FY29 (years 6-10 fade linearly to terminal growth)</t>
  </si>
  <si>
    <t>FY25</t>
  </si>
  <si>
    <t>FY26</t>
  </si>
  <si>
    <t>FY27</t>
  </si>
  <si>
    <t>FY28</t>
  </si>
  <si>
    <t>FY29</t>
  </si>
  <si>
    <t>Management case: revenue growth</t>
  </si>
  <si>
    <t>~2x market growth, per TCPL's thesis that focus categories grow ~2x the market [1]</t>
  </si>
  <si>
    <t>Management case: EBITDA margin</t>
  </si>
  <si>
    <t>Base case: revenue growth</t>
  </si>
  <si>
    <t>Grows in line with the ~14% market CAGR [1]; modest operating leverage</t>
  </si>
  <si>
    <t>Base case: EBITDA margin</t>
  </si>
  <si>
    <t>Downside case: revenue growth</t>
  </si>
  <si>
    <t>FY25 actual growth of ~6.5% [7] persists, recovering slowly; flat margin</t>
  </si>
  <si>
    <t>Downside case: EBITDA margin</t>
  </si>
  <si>
    <t>Synergy drivers (TCPL cited distribution, logistics and overheads but did not quantify them [2])</t>
  </si>
  <si>
    <t>New outlets reached via TCPL network (cumulative, mn)</t>
  </si>
  <si>
    <t>Analyst assumption; capped at 0.5 mn vs a 3.4 mn gap between TCPL's 3.8 mn and CF's 0.4 mn [1]</t>
  </si>
  <si>
    <t>Cost synergy phase-in</t>
  </si>
  <si>
    <t>Sales per new outlet vs. existing domestic outlet</t>
  </si>
  <si>
    <t>Analyst assumption: new outlets are smaller, mostly rural GT</t>
  </si>
  <si>
    <t>Annual growth in sales per outlet</t>
  </si>
  <si>
    <t>Analyst assumption (price-led)</t>
  </si>
  <si>
    <t>Contribution margin on synergy revenue</t>
  </si>
  <si>
    <t>~50% gross margin [1] less trade margin and variable selling cost (analyst assumption)</t>
  </si>
  <si>
    <t>Run-rate cost synergies (% of CF revenue)</t>
  </si>
  <si>
    <t>Analyst assumption: trade terms, logistics, overheads</t>
  </si>
  <si>
    <t>Synergy realisation</t>
  </si>
  <si>
    <t>Flex to stress-test</t>
  </si>
  <si>
    <t>Market Assessment: Is Capital Foods in an attractive, growing market?</t>
  </si>
  <si>
    <t>Relevant categories: chutneys, Chinese sauces, instant noodles, blended masalas, ginger-garlic paste, soups. Rs. crore.</t>
  </si>
  <si>
    <t>Market growth path (top-down, from TCPL's deal presentation [1])</t>
  </si>
  <si>
    <t>Rs. crore</t>
  </si>
  <si>
    <t>2022</t>
  </si>
  <si>
    <t>2023</t>
  </si>
  <si>
    <t>2024</t>
  </si>
  <si>
    <t>2025</t>
  </si>
  <si>
    <t>2026</t>
  </si>
  <si>
    <t>2027F</t>
  </si>
  <si>
    <t>Implied CAGR 2022-27</t>
  </si>
  <si>
    <t>Relevant market size</t>
  </si>
  <si>
    <t>Capital Foods share (FY24E revenue / 2024 market)</t>
  </si>
  <si>
    <t>Thesis check: does Capital Foods grow ~2x the market?</t>
  </si>
  <si>
    <t>Growth</t>
  </si>
  <si>
    <t>vs. market</t>
  </si>
  <si>
    <t>Relevant market CAGR 2022-27</t>
  </si>
  <si>
    <t>Capital Foods FY23 to FY24E growth</t>
  </si>
  <si>
    <t>Capital Foods FY24E to FY25 growth (first year under TCPL)</t>
  </si>
  <si>
    <t>Year 1 under TCPL grew at under half the market rate, well short of the ~2x thesis. FY24 is TCPL's estimate, so treat this as indicative.</t>
  </si>
  <si>
    <t>Management case: FY25-29 revenue CAGR</t>
  </si>
  <si>
    <t>Base case: FY25-29 revenue CAGR</t>
  </si>
  <si>
    <t>Downside case: FY25-29 revenue CAGR</t>
  </si>
  <si>
    <t>Competitive position: Capital Foods category rankings, 2022 [1]</t>
  </si>
  <si>
    <t>Category</t>
  </si>
  <si>
    <t>Rank</t>
  </si>
  <si>
    <t>Share</t>
  </si>
  <si>
    <t>Schezwan chutney</t>
  </si>
  <si>
    <t>#1</t>
  </si>
  <si>
    <t>Category leader in a niche it created; &gt;80% aided awareness across Chinese masala, GGP and sauces [1]. The risk is concentration in a narrow cuisine.</t>
  </si>
  <si>
    <t>Desi Chinese blended masala</t>
  </si>
  <si>
    <t>Chinese sauces</t>
  </si>
  <si>
    <t>Soups</t>
  </si>
  <si>
    <t>#2</t>
  </si>
  <si>
    <t>Ginger-garlic paste</t>
  </si>
  <si>
    <t>Distribution headroom: the core revenue-synergy lever</t>
  </si>
  <si>
    <t>Capital Foods retail reach (mn outlets)</t>
  </si>
  <si>
    <t>TCPL retail reach (mn outlets)</t>
  </si>
  <si>
    <t>TCPL reach as a multiple of Capital Foods</t>
  </si>
  <si>
    <t>Outlet gap (mn)</t>
  </si>
  <si>
    <t>TCPL India channel mix [1]</t>
  </si>
  <si>
    <t>FY21</t>
  </si>
  <si>
    <t>FY22</t>
  </si>
  <si>
    <t>FY23</t>
  </si>
  <si>
    <t>General trade</t>
  </si>
  <si>
    <t>Modern trade and e-commerce</t>
  </si>
  <si>
    <t>Business Plan Cases &amp; Standalone DCF of Capital Foods</t>
  </si>
  <si>
    <t>Three cases; FY25-29 from Inputs, FY30-34 fade linearly to terminal growth with margin held. Rs. crore.</t>
  </si>
  <si>
    <t>Discount rate</t>
  </si>
  <si>
    <t>Cost of equity = WACC (Capital Foods is effectively debt-free)</t>
  </si>
  <si>
    <t>Management case</t>
  </si>
  <si>
    <t>FY24E</t>
  </si>
  <si>
    <t>FY30</t>
  </si>
  <si>
    <t>FY31</t>
  </si>
  <si>
    <t>FY32</t>
  </si>
  <si>
    <t>FY33</t>
  </si>
  <si>
    <t>FY34</t>
  </si>
  <si>
    <t>Revenue growth</t>
  </si>
  <si>
    <t>Revenue</t>
  </si>
  <si>
    <t>EBITDA margin</t>
  </si>
  <si>
    <t>EBITDA</t>
  </si>
  <si>
    <t>Less: D&amp;A</t>
  </si>
  <si>
    <t>EBIT</t>
  </si>
  <si>
    <t>Net income (EBIT x (1 - tax); debt-free)</t>
  </si>
  <si>
    <t>Free cash flow (NOPAT + D&amp;A - capex - change in NWC)</t>
  </si>
  <si>
    <t>PV of free cash flow</t>
  </si>
  <si>
    <t>Sum of PV (FY25-34)</t>
  </si>
  <si>
    <t>PV of terminal value</t>
  </si>
  <si>
    <t>Standalone enterprise value</t>
  </si>
  <si>
    <t>Implied EV / FY24E sales</t>
  </si>
  <si>
    <t>Standalone value vs. price paid</t>
  </si>
  <si>
    <t>FY25 plan revenue vs. FY25 actual</t>
  </si>
  <si>
    <t>Base case</t>
  </si>
  <si>
    <t>Downside case</t>
  </si>
  <si>
    <t>Synergy Case: Distribution Expansion and Cost Savings</t>
  </si>
  <si>
    <t>Built bottom-up from TCPL's stated levers [1][2]. Driver assumptions are on Inputs. Rs. crore.</t>
  </si>
  <si>
    <t>New outlets reached (cumulative, mn)</t>
  </si>
  <si>
    <t>Sales per new outlet (Rs. cr per mn outlets)</t>
  </si>
  <si>
    <t>Revenue synergy</t>
  </si>
  <si>
    <t>EBITDA from revenue synergy</t>
  </si>
  <si>
    <t>Cost synergies (% of base-case revenue x phase-in)</t>
  </si>
  <si>
    <t>Less: one-off integration cost</t>
  </si>
  <si>
    <t>Total synergy EBITDA (net)</t>
  </si>
  <si>
    <t>After-tax synergies</t>
  </si>
  <si>
    <t>Less: working capital on synergy revenue</t>
  </si>
  <si>
    <t>Synergy cash flow</t>
  </si>
  <si>
    <t>PV of synergy cash flow</t>
  </si>
  <si>
    <t>Value of synergies to TCPL</t>
  </si>
  <si>
    <t>FY29 revenue synergy as % of base-case FY29 revenue</t>
  </si>
  <si>
    <t>Precedent Transactions: Indian Branded FMCG Acquisitions</t>
  </si>
  <si>
    <t>EV / sales on the revenue basis disclosed at announcement. Rs. crore.</t>
  </si>
  <si>
    <t>Date</t>
  </si>
  <si>
    <t>Acquirer</t>
  </si>
  <si>
    <t>Target (brand)</t>
  </si>
  <si>
    <t>EV</t>
  </si>
  <si>
    <t>EV / sales</t>
  </si>
  <si>
    <t>Revenue basis and source</t>
  </si>
  <si>
    <t>Oct-2022</t>
  </si>
  <si>
    <t>Dabur</t>
  </si>
  <si>
    <t>Badshah Masala</t>
  </si>
  <si>
    <t>Spices and masalas</t>
  </si>
  <si>
    <t>FY23E revenue; 51% stake at Rs 1,152 cr EV [8]</t>
  </si>
  <si>
    <t>Jan-2024</t>
  </si>
  <si>
    <t>Tata Consumer</t>
  </si>
  <si>
    <t>Organic India</t>
  </si>
  <si>
    <t>Herbal teas, supplements</t>
  </si>
  <si>
    <t>FY24E net sales implied by 5.2x EV/sales [1]</t>
  </si>
  <si>
    <t>Jan-2025</t>
  </si>
  <si>
    <t>HUL</t>
  </si>
  <si>
    <t>Minimalist</t>
  </si>
  <si>
    <t>D2C skincare</t>
  </si>
  <si>
    <t>FY24 revenue; Rs 2,955 cr valuation for 90.5% stake [9]</t>
  </si>
  <si>
    <t>Apr-2025</t>
  </si>
  <si>
    <t>ITC</t>
  </si>
  <si>
    <t>Sresta (24 Mantra)</t>
  </si>
  <si>
    <t>Organic staples</t>
  </si>
  <si>
    <t>FY24 revenue; cash-free debt-free consideration [10]</t>
  </si>
  <si>
    <t>75th percentile</t>
  </si>
  <si>
    <t>Median</t>
  </si>
  <si>
    <t>25th percentile</t>
  </si>
  <si>
    <t>Capital Foods (Ching's)</t>
  </si>
  <si>
    <t>Sauces, condiments, noodles</t>
  </si>
  <si>
    <t>Subject deal (excluded from the peer statistics); FY24E net revenue [1]</t>
  </si>
  <si>
    <t>Implied value of Capital Foods (on FY24E net revenue)</t>
  </si>
  <si>
    <t>25th pct</t>
  </si>
  <si>
    <t>75th pct</t>
  </si>
  <si>
    <t>Implied EV (Rs. cr)</t>
  </si>
  <si>
    <t>Acquirer's own multiple (what TCPL's shares were priced at)</t>
  </si>
  <si>
    <t>TCPL market cap / FY24 revenue</t>
  </si>
  <si>
    <t>TCPL market cap / FY24 EBITDA</t>
  </si>
  <si>
    <t>Price paid / Capital Foods FY24E EBITDA</t>
  </si>
  <si>
    <t>Capital Foods valued at TCPL's own EV/sales</t>
  </si>
  <si>
    <t>Market cap used as a proxy for EV; TCPL's net cash or debt is small relative to Rs 1 lakh cr.</t>
  </si>
  <si>
    <t>Accretion / Dilution: Impact on TCPL's EPS</t>
  </si>
  <si>
    <t>Capital Foods only. Case set on Inputs. Checked against TCPL's guidance: 'EPS breakeven in the second year, cash EPS accretive in the first full year' [1].</t>
  </si>
  <si>
    <t>Funding the Rs 5,100 cr price</t>
  </si>
  <si>
    <t>Price paid (EV, 100%)</t>
  </si>
  <si>
    <t>Share funded by rights issue equity</t>
  </si>
  <si>
    <t>Equity funding</t>
  </si>
  <si>
    <t>New TCPL shares issued at Rs 818 (crore)</t>
  </si>
  <si>
    <t>Debt funding (CP / NCD)</t>
  </si>
  <si>
    <t>Annual after-tax interest cost</t>
  </si>
  <si>
    <t>Annual amortisation of intangibles (pre-tax)</t>
  </si>
  <si>
    <t>Pro forma EPS</t>
  </si>
  <si>
    <t>TCPL standalone net profit</t>
  </si>
  <si>
    <t>Capital Foods net income (selected case)</t>
  </si>
  <si>
    <t>After-tax synergies (incl. integration cost)</t>
  </si>
  <si>
    <t>Less: after-tax interest on acquisition debt</t>
  </si>
  <si>
    <t>Less: after-tax amortisation</t>
  </si>
  <si>
    <t>Pro forma net profit</t>
  </si>
  <si>
    <t>Standalone shares (crore)</t>
  </si>
  <si>
    <t>Pro forma shares (crore)</t>
  </si>
  <si>
    <t>Standalone EPS (Rs.)</t>
  </si>
  <si>
    <t>Pro forma EPS (Rs.)</t>
  </si>
  <si>
    <t>EPS accretion / (dilution)</t>
  </si>
  <si>
    <t>Rights shares were issued at a 35% discount, so the equity-funded part of the deal adds shares cheaply relative to TCPL's ~95x P/E.</t>
  </si>
  <si>
    <t>Cash EPS accretion / (dilution) (adds back amortisation)</t>
  </si>
  <si>
    <t>Result (EPS)</t>
  </si>
  <si>
    <t>Case in use</t>
  </si>
  <si>
    <t>Sensitivity Analysis</t>
  </si>
  <si>
    <t>All cells are live formulas. Base case outlined.</t>
  </si>
  <si>
    <t>Table 1: Standalone value of Capital Foods (Rs. cr) by FY25-29 revenue growth and EBITDA margin</t>
  </si>
  <si>
    <t>Compare with the Rs 5,100 cr paid. Growth fades to terminal growth over FY30-34; margin held flat throughout.</t>
  </si>
  <si>
    <t>Growth (down) / Margin (across)</t>
  </si>
  <si>
    <t>Price paid (Rs. cr)</t>
  </si>
  <si>
    <t>Table 2: Value created / (destroyed) for TCPL (Rs. cr): base-case value + synergies - price paid</t>
  </si>
  <si>
    <t>Base-case standalone value plus synergies scaled by realisation, minus the EV paid.</t>
  </si>
  <si>
    <t>Price paid (down) / Synergy realisation (across)</t>
  </si>
  <si>
    <t>Table 3: FY26 EPS accretion / (dilution) by funding mix and debt cost (selected case)</t>
  </si>
  <si>
    <t>Shows how much the rights issue (equity at Rs 818) versus commercial paper changes the EPS outcome.</t>
  </si>
  <si>
    <t>Equity share (down) / Debt cost (across)</t>
  </si>
  <si>
    <t>Valuation Summary: What is Capital Foods worth? (EV, Rs. cr)</t>
  </si>
  <si>
    <t>Ranges from each lens against the Rs 5,100 cr paid.</t>
  </si>
  <si>
    <t>Method</t>
  </si>
  <si>
    <t>Low</t>
  </si>
  <si>
    <t>High</t>
  </si>
  <si>
    <t>Spread</t>
  </si>
  <si>
    <t>DCF standalone: downside to management case</t>
  </si>
  <si>
    <t>Point estimates are shown as thin bars (+/-0.5%) so they appear on the chart.</t>
  </si>
  <si>
    <t>DCF base case + synergies (0-100% realisation)</t>
  </si>
  <si>
    <t>Precedent transactions (25th-75th pct EV/sales)</t>
  </si>
  <si>
    <t>TCPL's own EV/sales applied (point)</t>
  </si>
  <si>
    <t>Price paid (point)</t>
  </si>
  <si>
    <t>Sources</t>
  </si>
  <si>
    <t>Primary and press sources used for every hardcoded fact. Accessed October 2026.</t>
  </si>
  <si>
    <t>#</t>
  </si>
  <si>
    <t>Source</t>
  </si>
  <si>
    <t>URL</t>
  </si>
  <si>
    <t>TCPL acquisition investor presentation, 12 Jan 2024 (NSE filing)</t>
  </si>
  <si>
    <t>https://nsearchives.nseindia.com/corporate/TATACONSUM_12012024224028_TCPL_Acquisition_Investor_presentation_sd.pdf</t>
  </si>
  <si>
    <t>PTI via The Week: TCPL to acquire Capital Foods, Organic India (12 Jan 2024)</t>
  </si>
  <si>
    <t>https://www.theweek.in/wire-updates/business/2024/01/12/del94-biz-ld-tcpl-acqusition.html</t>
  </si>
  <si>
    <t>Business Today: TCPL board approves Rs 6,500 cr fundraise (19 Jan 2024)</t>
  </si>
  <si>
    <t>https://www.businesstoday.in/amp/latest/corporate/story/tata-consumer-to-raise-rs-6500-crore-to-fund-acquistion-of-capital-foods-organic-india-414063-2024-01-19</t>
  </si>
  <si>
    <t>[4]</t>
  </si>
  <si>
    <t>Bajaj Broking: TCPL Rs 3,000 cr rights issue at Rs 818 (Jul 2024)</t>
  </si>
  <si>
    <t>https://bajajbroking.in/blog/tata-consumer-products-announces-rs3000-cr-rights-issue-at--818share</t>
  </si>
  <si>
    <t>TCPL press release: results for year ended 31 Mar 2024</t>
  </si>
  <si>
    <t>https://www.tataconsumer.com/news/results-quarter-and-year-ended-31st-march-2024</t>
  </si>
  <si>
    <t>Business Standard: TCPL FY24 consolidated net profit (23 Apr 2024)</t>
  </si>
  <si>
    <t>https://www.business-standard.com/amp/markets/capital-market-news/tata-consumer-products-consolidated-net-profit-declines-19-35-in-the-march-2024-quarter-124042300875_1.html</t>
  </si>
  <si>
    <t>PTI via The Week: Capital Foods, Organic India FY25 performance (26 May 2025)</t>
  </si>
  <si>
    <t>https://www.theweek.in/wire-updates/business/2025/05/26/dcm100-biz-tata-consumer-products.html</t>
  </si>
  <si>
    <t>[8]</t>
  </si>
  <si>
    <t>Business Today: Dabur acquires 51% of Badshah Masala (Oct 2022)</t>
  </si>
  <si>
    <t>https://www.businesstoday.in/amp/latest/corporate/story/daburs-got-its-badshah-on-board-acquires-majority-stake-in-the-prominent-masala-brand-350870-2022-10-26</t>
  </si>
  <si>
    <t>[9]</t>
  </si>
  <si>
    <t>Entrackr: HUL acquires 90.5% of Minimalist (Jan 2025)</t>
  </si>
  <si>
    <t>https://entrackr.com/news/hul-acquires-905-stake-in-minimalist-at-rs-2955-cr-valuation-8644087</t>
  </si>
  <si>
    <t>[10]</t>
  </si>
  <si>
    <t>Outlook Business: ITC to acquire Sresta Natural / 24 Mantra Organic (Apr 2025)</t>
  </si>
  <si>
    <t>https://www.outlookbusiness.com/corporate/itc-to-acquire-24-mantra-organic-brand-for-rs-47250-crore-735-remaining-stake-in-mother-sparsh</t>
  </si>
  <si>
    <t>Helper: DCF engine for Sensitivity Table 1 (do not edit)</t>
  </si>
  <si>
    <t>One block per growth / margin pair.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</si>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</sst>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\x;\(0.0&quot;x)&quot;;\-"/>
    <numFmt numFmtId="166" formatCode="0.0%;\(0.0%\);\-"/>
    <numFmt numFmtId="167" formatCode="0%;\(0%\);\-"/>
    <numFmt numFmtId="168" formatCode="#,##0.00;\(#,##0.00\);\-"/>
    <numFmt numFmtId="169" formatCode="#,##0.0;\(#,##0.0\);\-"/>
  </numFmts>
  <fonts count="19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sz val="11"/>
      <color rgb="FF000000"/>
      <name val="Arial"/>
      <charset val="1"/>
    </font>
    <font>
      <b/>
      <sz val="10"/>
      <color rgb="FF0000FF"/>
      <name val="Arial"/>
      <charset val="1"/>
    </font>
    <font>
      <b/>
      <i/>
      <sz val="10"/>
      <color rgb="FF000000"/>
      <name val="Arial"/>
      <charset val="1"/>
    </font>
    <font>
      <i/>
      <sz val="10"/>
      <color rgb="FF000000"/>
      <name val="Arial"/>
      <charset val="1"/>
    </font>
    <font>
      <i/>
      <sz val="10"/>
      <color rgb="FF008000"/>
      <name val="Arial"/>
      <charset val="1"/>
    </font>
    <font>
      <b/>
      <sz val="11"/>
      <name val="Arial"/>
      <charset val="1"/>
    </font>
    <font>
      <sz val="10"/>
      <color rgb="FF0563C1"/>
      <name val="Arial"/>
      <charset val="1"/>
    </font>
    <font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indent="1"/>
    </xf>
    <xf numFmtId="164" fontId="5" fillId="0" borderId="0" xfId="0" applyNumberFormat="1" applyFont="1"/>
    <xf numFmtId="165" fontId="5" fillId="0" borderId="0" xfId="0" applyNumberFormat="1" applyFont="1"/>
    <xf numFmtId="0" fontId="0" fillId="3" borderId="0" xfId="0" applyFill="1"/>
    <xf numFmtId="0" fontId="6" fillId="3" borderId="0" xfId="0" applyFont="1" applyFill="1" applyAlignment="1">
      <alignment horizontal="right"/>
    </xf>
    <xf numFmtId="164" fontId="7" fillId="0" borderId="0" xfId="0" applyNumberFormat="1" applyFont="1"/>
    <xf numFmtId="0" fontId="6" fillId="0" borderId="0" xfId="0" applyFont="1" applyAlignment="1">
      <alignment indent="1"/>
    </xf>
    <xf numFmtId="164" fontId="6" fillId="0" borderId="1" xfId="0" applyNumberFormat="1" applyFont="1" applyBorder="1"/>
    <xf numFmtId="164" fontId="5" fillId="4" borderId="0" xfId="0" applyNumberFormat="1" applyFont="1" applyFill="1"/>
    <xf numFmtId="166" fontId="7" fillId="0" borderId="0" xfId="0" applyNumberFormat="1" applyFont="1"/>
    <xf numFmtId="0" fontId="8" fillId="0" borderId="0" xfId="0" applyFont="1"/>
    <xf numFmtId="0" fontId="4" fillId="0" borderId="0" xfId="0" applyFont="1"/>
    <xf numFmtId="0" fontId="7" fillId="0" borderId="0" xfId="0" applyFont="1"/>
    <xf numFmtId="0" fontId="4" fillId="5" borderId="0" xfId="0" applyFont="1" applyFill="1"/>
    <xf numFmtId="0" fontId="4" fillId="4" borderId="0" xfId="0" applyFont="1" applyFill="1"/>
    <xf numFmtId="0" fontId="9" fillId="0" borderId="0" xfId="0" applyFont="1"/>
    <xf numFmtId="0" fontId="10" fillId="0" borderId="0" xfId="0" applyFont="1"/>
    <xf numFmtId="164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169" fontId="8" fillId="0" borderId="0" xfId="0" applyNumberFormat="1" applyFont="1"/>
    <xf numFmtId="166" fontId="8" fillId="0" borderId="0" xfId="0" applyNumberFormat="1" applyFont="1"/>
    <xf numFmtId="166" fontId="11" fillId="5" borderId="0" xfId="0" applyNumberFormat="1" applyFont="1" applyFill="1"/>
    <xf numFmtId="166" fontId="8" fillId="5" borderId="0" xfId="0" applyNumberFormat="1" applyFont="1" applyFill="1"/>
    <xf numFmtId="1" fontId="8" fillId="0" borderId="0" xfId="0" applyNumberFormat="1" applyFont="1"/>
    <xf numFmtId="2" fontId="8" fillId="0" borderId="0" xfId="0" applyNumberFormat="1" applyFont="1"/>
    <xf numFmtId="1" fontId="8" fillId="5" borderId="0" xfId="0" applyNumberFormat="1" applyFont="1" applyFill="1"/>
    <xf numFmtId="0" fontId="6" fillId="0" borderId="0" xfId="0" applyFont="1" applyAlignment="1">
      <alignment horizontal="right"/>
    </xf>
    <xf numFmtId="167" fontId="8" fillId="5" borderId="0" xfId="0" applyNumberFormat="1" applyFont="1" applyFill="1"/>
    <xf numFmtId="0" fontId="6" fillId="3" borderId="0" xfId="0" applyFont="1" applyFill="1"/>
    <xf numFmtId="166" fontId="5" fillId="0" borderId="0" xfId="0" applyNumberFormat="1" applyFont="1"/>
    <xf numFmtId="164" fontId="6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6" fontId="5" fillId="4" borderId="0" xfId="0" applyNumberFormat="1" applyFont="1" applyFill="1"/>
    <xf numFmtId="165" fontId="6" fillId="4" borderId="0" xfId="0" applyNumberFormat="1" applyFont="1" applyFill="1"/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168" fontId="7" fillId="0" borderId="0" xfId="0" applyNumberFormat="1" applyFont="1"/>
    <xf numFmtId="168" fontId="4" fillId="0" borderId="0" xfId="0" applyNumberFormat="1" applyFont="1"/>
    <xf numFmtId="167" fontId="4" fillId="0" borderId="0" xfId="0" applyNumberFormat="1" applyFont="1"/>
    <xf numFmtId="164" fontId="4" fillId="0" borderId="0" xfId="0" applyNumberFormat="1" applyFont="1"/>
    <xf numFmtId="164" fontId="6" fillId="4" borderId="0" xfId="0" applyNumberFormat="1" applyFont="1" applyFill="1"/>
    <xf numFmtId="165" fontId="7" fillId="0" borderId="0" xfId="0" applyNumberFormat="1" applyFont="1"/>
    <xf numFmtId="169" fontId="7" fillId="0" borderId="0" xfId="0" applyNumberFormat="1" applyFont="1"/>
    <xf numFmtId="169" fontId="4" fillId="0" borderId="0" xfId="0" applyNumberFormat="1" applyFont="1"/>
    <xf numFmtId="0" fontId="6" fillId="3" borderId="0" xfId="0" applyFont="1" applyFill="1" applyAlignment="1">
      <alignment horizontal="center"/>
    </xf>
    <xf numFmtId="165" fontId="6" fillId="0" borderId="0" xfId="0" applyNumberFormat="1" applyFont="1"/>
    <xf numFmtId="0" fontId="6" fillId="0" borderId="0" xfId="0" applyFont="1"/>
    <xf numFmtId="165" fontId="6" fillId="0" borderId="1" xfId="0" applyNumberFormat="1" applyFont="1" applyBorder="1"/>
    <xf numFmtId="0" fontId="12" fillId="0" borderId="0" xfId="0" applyFont="1"/>
    <xf numFmtId="168" fontId="6" fillId="0" borderId="0" xfId="0" applyNumberFormat="1" applyFont="1"/>
    <xf numFmtId="166" fontId="6" fillId="4" borderId="0" xfId="0" applyNumberFormat="1" applyFont="1" applyFill="1"/>
    <xf numFmtId="0" fontId="5" fillId="0" borderId="0" xfId="0" applyFont="1"/>
    <xf numFmtId="0" fontId="13" fillId="0" borderId="0" xfId="0" applyFont="1"/>
    <xf numFmtId="167" fontId="12" fillId="3" borderId="0" xfId="0" applyNumberFormat="1" applyFont="1" applyFill="1"/>
    <xf numFmtId="167" fontId="12" fillId="3" borderId="0" xfId="0" applyNumberFormat="1" applyFont="1" applyFill="1" applyAlignment="1">
      <alignment horizontal="center"/>
    </xf>
    <xf numFmtId="164" fontId="7" fillId="0" borderId="2" xfId="0" applyNumberFormat="1" applyFont="1" applyBorder="1"/>
    <xf numFmtId="0" fontId="14" fillId="0" borderId="0" xfId="0" applyFont="1" applyAlignment="1">
      <alignment indent="1"/>
    </xf>
    <xf numFmtId="164" fontId="15" fillId="0" borderId="0" xfId="0" applyNumberFormat="1" applyFont="1"/>
    <xf numFmtId="164" fontId="12" fillId="3" borderId="0" xfId="0" applyNumberFormat="1" applyFont="1" applyFill="1" applyAlignment="1">
      <alignment horizontal="center"/>
    </xf>
    <xf numFmtId="164" fontId="4" fillId="0" borderId="2" xfId="0" applyNumberFormat="1" applyFont="1" applyBorder="1"/>
    <xf numFmtId="164" fontId="16" fillId="0" borderId="3" xfId="0" applyNumberFormat="1" applyFont="1" applyBorder="1"/>
    <xf numFmtId="166" fontId="12" fillId="3" borderId="0" xfId="0" applyNumberFormat="1" applyFont="1" applyFill="1"/>
    <xf numFmtId="166" fontId="7" fillId="0" borderId="2" xfId="0" applyNumberFormat="1" applyFont="1" applyBorder="1"/>
    <xf numFmtId="0" fontId="17" fillId="0" borderId="0" xfId="0" applyFont="1"/>
    <xf numFmtId="167" fontId="7" fillId="0" borderId="0" xfId="0" applyNumberFormat="1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Relevant market size (Rs.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Market!$C$6:$H$6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2027F</c:v>
                </c:pt>
              </c:strCache>
            </c:strRef>
          </c:cat>
          <c:val>
            <c:numRef>
              <c:f>Market!$C$8:$H$8</c:f>
              <c:numCache>
                <c:formatCode>#,##0;\(#,##0\);\-</c:formatCode>
                <c:ptCount val="6"/>
                <c:pt idx="0">
                  <c:v>21400</c:v>
                </c:pt>
                <c:pt idx="1">
                  <c:v>24442.728555015558</c:v>
                </c:pt>
                <c:pt idx="2">
                  <c:v>27918.083140849201</c:v>
                </c:pt>
                <c:pt idx="3">
                  <c:v>31887.576074211833</c:v>
                </c:pt>
                <c:pt idx="4">
                  <c:v>36421.465713054604</c:v>
                </c:pt>
                <c:pt idx="5">
                  <c:v>41599.999999999993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FE-2A4E-9265-5FAB31E6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951998"/>
        <c:axId val="94657759"/>
      </c:lineChart>
      <c:catAx>
        <c:axId val="81951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57759"/>
        <c:crosses val="autoZero"/>
        <c:auto val="1"/>
        <c:lblAlgn val="ctr"/>
        <c:lblOffset val="100"/>
        <c:noMultiLvlLbl val="0"/>
      </c:catAx>
      <c:valAx>
        <c:axId val="94657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51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Capital Foods enterprise value (Rs.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Field'!$C$5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Field'!$B$6:$B$10</c:f>
              <c:strCache>
                <c:ptCount val="5"/>
                <c:pt idx="0">
                  <c:v>DCF standalone: downside to management case</c:v>
                </c:pt>
                <c:pt idx="1">
                  <c:v>DCF base case + synergies (0-100% realisation)</c:v>
                </c:pt>
                <c:pt idx="2">
                  <c:v>Precedent transactions (25th-75th pct EV/sales)</c:v>
                </c:pt>
                <c:pt idx="3">
                  <c:v>TCPL's own EV/sales applied (point)</c:v>
                </c:pt>
                <c:pt idx="4">
                  <c:v>Price paid (point)</c:v>
                </c:pt>
              </c:strCache>
            </c:strRef>
          </c:cat>
          <c:val>
            <c:numRef>
              <c:f>'Football Field'!$C$6:$C$10</c:f>
              <c:numCache>
                <c:formatCode>#,##0;\(#,##0\);\-</c:formatCode>
                <c:ptCount val="5"/>
                <c:pt idx="0">
                  <c:v>2274.4521997203974</c:v>
                </c:pt>
                <c:pt idx="1">
                  <c:v>3169.3071424381055</c:v>
                </c:pt>
                <c:pt idx="2">
                  <c:v>2881.4274746814763</c:v>
                </c:pt>
                <c:pt idx="3">
                  <c:v>4907.6022622648952</c:v>
                </c:pt>
                <c:pt idx="4">
                  <c:v>5074.5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A-6441-85EA-5222DA424FCD}"/>
            </c:ext>
          </c:extLst>
        </c:ser>
        <c:ser>
          <c:idx val="1"/>
          <c:order val="1"/>
          <c:tx>
            <c:strRef>
              <c:f>'Football Field'!$E$5</c:f>
              <c:strCache>
                <c:ptCount val="1"/>
                <c:pt idx="0">
                  <c:v>Spread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Field'!$B$6:$B$10</c:f>
              <c:strCache>
                <c:ptCount val="5"/>
                <c:pt idx="0">
                  <c:v>DCF standalone: downside to management case</c:v>
                </c:pt>
                <c:pt idx="1">
                  <c:v>DCF base case + synergies (0-100% realisation)</c:v>
                </c:pt>
                <c:pt idx="2">
                  <c:v>Precedent transactions (25th-75th pct EV/sales)</c:v>
                </c:pt>
                <c:pt idx="3">
                  <c:v>TCPL's own EV/sales applied (point)</c:v>
                </c:pt>
                <c:pt idx="4">
                  <c:v>Price paid (point)</c:v>
                </c:pt>
              </c:strCache>
            </c:strRef>
          </c:cat>
          <c:val>
            <c:numRef>
              <c:f>'Football Field'!$E$6:$E$10</c:f>
              <c:numCache>
                <c:formatCode>#,##0;\(#,##0\);\-</c:formatCode>
                <c:ptCount val="5"/>
                <c:pt idx="0">
                  <c:v>3320.6539494296376</c:v>
                </c:pt>
                <c:pt idx="1">
                  <c:v>859.1347932265262</c:v>
                </c:pt>
                <c:pt idx="2">
                  <c:v>1643.3766191166369</c:v>
                </c:pt>
                <c:pt idx="3">
                  <c:v>49.32263580165727</c:v>
                </c:pt>
                <c:pt idx="4">
                  <c:v>50.999999999999091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A-6441-85EA-5222DA424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588958"/>
        <c:axId val="15759478"/>
      </c:barChart>
      <c:catAx>
        <c:axId val="405889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59478"/>
        <c:crosses val="autoZero"/>
        <c:auto val="1"/>
        <c:lblAlgn val="ctr"/>
        <c:lblOffset val="100"/>
        <c:noMultiLvlLbl val="0"/>
      </c:catAx>
      <c:valAx>
        <c:axId val="15759478"/>
        <c:scaling>
          <c:orientation val="minMax"/>
          <c:max val="8000"/>
          <c:min val="1000"/>
        </c:scaling>
        <c:delete val="0"/>
        <c:axPos val="t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88958"/>
        <c:crosses val="autoZero"/>
        <c:crossBetween val="between"/>
        <c:majorUnit val="1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160920</xdr:rowOff>
    </xdr:from>
    <xdr:to>
      <xdr:col>4</xdr:col>
      <xdr:colOff>105840</xdr:colOff>
      <xdr:row>50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48240</xdr:rowOff>
    </xdr:from>
    <xdr:to>
      <xdr:col>6</xdr:col>
      <xdr:colOff>277200</xdr:colOff>
      <xdr:row>27</xdr:row>
      <xdr:rowOff>59760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inesstoday.in/amp/latest/corporate/story/daburs-got-its-badshah-on-board-acquires-majority-stake-in-the-prominent-masala-brand-350870-2022-10-26" TargetMode="External"/><Relationship Id="rId3" Type="http://schemas.openxmlformats.org/officeDocument/2006/relationships/hyperlink" Target="https://www.businesstoday.in/amp/latest/corporate/story/tata-consumer-to-raise-rs-6500-crore-to-fund-acquistion-of-capital-foods-organic-india-414063-2024-01-19" TargetMode="External"/><Relationship Id="rId7" Type="http://schemas.openxmlformats.org/officeDocument/2006/relationships/hyperlink" Target="https://www.theweek.in/wire-updates/business/2025/05/26/dcm100-biz-tata-consumer-products.html" TargetMode="External"/><Relationship Id="rId2" Type="http://schemas.openxmlformats.org/officeDocument/2006/relationships/hyperlink" Target="https://www.theweek.in/wire-updates/business/2024/01/12/del94-biz-ld-tcpl-acqusition.html" TargetMode="External"/><Relationship Id="rId1" Type="http://schemas.openxmlformats.org/officeDocument/2006/relationships/hyperlink" Target="https://nsearchives.nseindia.com/corporate/TATACONSUM_12012024224028_TCPL_Acquisition_Investor_presentation_sd.pdf" TargetMode="External"/><Relationship Id="rId6" Type="http://schemas.openxmlformats.org/officeDocument/2006/relationships/hyperlink" Target="https://www.business-standard.com/amp/markets/capital-market-news/tata-consumer-products-consolidated-net-profit-declines-19-35-in-the-march-2024-quarter-124042300875_1.html" TargetMode="External"/><Relationship Id="rId5" Type="http://schemas.openxmlformats.org/officeDocument/2006/relationships/hyperlink" Target="https://www.tataconsumer.com/news/results-quarter-and-year-ended-31st-march-2024" TargetMode="External"/><Relationship Id="rId10" Type="http://schemas.openxmlformats.org/officeDocument/2006/relationships/hyperlink" Target="https://www.outlookbusiness.com/corporate/itc-to-acquire-24-mantra-organic-brand-for-rs-47250-crore-735-remaining-stake-in-mother-sparsh" TargetMode="External"/><Relationship Id="rId4" Type="http://schemas.openxmlformats.org/officeDocument/2006/relationships/hyperlink" Target="https://bajajbroking.in/blog/tata-consumer-products-announces-rs3000-cr-rights-issue-at--818share" TargetMode="External"/><Relationship Id="rId9" Type="http://schemas.openxmlformats.org/officeDocument/2006/relationships/hyperlink" Target="https://entrackr.com/news/hul-acquires-905-stake-in-minimalist-at-rs-2955-cr-valuation-8644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8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58" customWidth="1"/>
    <col min="3" max="5" width="14" customWidth="1"/>
    <col min="6" max="6" width="4" customWidth="1"/>
  </cols>
  <sheetData>
    <row r="2" spans="2:5" ht="19" x14ac:dyDescent="0.2">
      <c r="B2" s="2" t="s">
        <v>0</v>
      </c>
    </row>
    <row r="3" spans="2:5" x14ac:dyDescent="0.2">
      <c r="B3" s="3"/>
    </row>
    <row r="5" spans="2:5" x14ac:dyDescent="0.2">
      <c r="B5" s="4" t="s">
        <v>1</v>
      </c>
      <c r="C5" s="5"/>
      <c r="D5" s="5"/>
      <c r="E5" s="5"/>
    </row>
    <row r="6" spans="2:5" x14ac:dyDescent="0.2">
      <c r="B6" s="6" t="s">
        <v>2</v>
      </c>
      <c r="C6" s="7">
        <f>Inputs!$C$6</f>
        <v>5100</v>
      </c>
    </row>
    <row r="7" spans="2:5" x14ac:dyDescent="0.2">
      <c r="B7" s="6" t="s">
        <v>3</v>
      </c>
      <c r="C7" s="8">
        <f>Precedents!H14</f>
        <v>6.8</v>
      </c>
    </row>
    <row r="8" spans="2:5" x14ac:dyDescent="0.2">
      <c r="B8" s="6" t="s">
        <v>4</v>
      </c>
      <c r="C8" s="8">
        <f>Precedents!F23</f>
        <v>34</v>
      </c>
    </row>
    <row r="9" spans="2:5" x14ac:dyDescent="0.2">
      <c r="B9" s="6" t="s">
        <v>5</v>
      </c>
      <c r="C9" s="8">
        <f>Precedents!H11</f>
        <v>4.9067397260273973</v>
      </c>
    </row>
    <row r="10" spans="2:5" x14ac:dyDescent="0.2">
      <c r="B10" s="6" t="s">
        <v>6</v>
      </c>
      <c r="C10" s="8">
        <f>Precedents!F21</f>
        <v>6.5763514402209653</v>
      </c>
    </row>
    <row r="12" spans="2:5" x14ac:dyDescent="0.2">
      <c r="B12" s="4" t="s">
        <v>7</v>
      </c>
      <c r="C12" s="5"/>
      <c r="D12" s="5"/>
      <c r="E12" s="5"/>
    </row>
    <row r="13" spans="2:5" x14ac:dyDescent="0.2">
      <c r="B13" s="9"/>
      <c r="C13" s="10" t="s">
        <v>8</v>
      </c>
      <c r="D13" s="10" t="s">
        <v>9</v>
      </c>
      <c r="E13" s="10" t="s">
        <v>10</v>
      </c>
    </row>
    <row r="14" spans="2:5" x14ac:dyDescent="0.2">
      <c r="B14" s="6" t="s">
        <v>11</v>
      </c>
      <c r="C14" s="7">
        <f>'Business Plan &amp; DCF'!C22</f>
        <v>5595.106149150035</v>
      </c>
      <c r="D14" s="7">
        <f>'Business Plan &amp; DCF'!C40</f>
        <v>3169.3071424381055</v>
      </c>
      <c r="E14" s="7">
        <f>'Business Plan &amp; DCF'!C58</f>
        <v>2274.4521997203974</v>
      </c>
    </row>
    <row r="15" spans="2:5" x14ac:dyDescent="0.2">
      <c r="B15" s="6" t="s">
        <v>12</v>
      </c>
      <c r="C15" s="11">
        <f>Synergies!$C$20</f>
        <v>859.13479322652631</v>
      </c>
      <c r="D15" s="11">
        <f>Synergies!$C$20</f>
        <v>859.13479322652631</v>
      </c>
      <c r="E15" s="11">
        <f>Synergies!$C$20</f>
        <v>859.13479322652631</v>
      </c>
    </row>
    <row r="16" spans="2:5" x14ac:dyDescent="0.2">
      <c r="B16" s="12" t="s">
        <v>13</v>
      </c>
      <c r="C16" s="13">
        <f>C14+C15</f>
        <v>6454.2409423765612</v>
      </c>
      <c r="D16" s="13">
        <f>D14+D15</f>
        <v>4028.4419356646317</v>
      </c>
      <c r="E16" s="13">
        <f>E14+E15</f>
        <v>3133.5869929469236</v>
      </c>
    </row>
    <row r="17" spans="2:5" x14ac:dyDescent="0.2">
      <c r="B17" s="12" t="s">
        <v>14</v>
      </c>
      <c r="C17" s="14">
        <f>C16-Inputs!$C$6</f>
        <v>1354.2409423765612</v>
      </c>
      <c r="D17" s="14">
        <f>D16-Inputs!$C$6</f>
        <v>-1071.5580643353683</v>
      </c>
      <c r="E17" s="14">
        <f>E16-Inputs!$C$6</f>
        <v>-1966.4130070530764</v>
      </c>
    </row>
    <row r="18" spans="2:5" x14ac:dyDescent="0.2">
      <c r="B18" s="6" t="s">
        <v>15</v>
      </c>
      <c r="C18" s="15">
        <f>Market!C16</f>
        <v>0.23381107426013137</v>
      </c>
      <c r="D18" s="15">
        <f>Market!C17</f>
        <v>0.14000000000000012</v>
      </c>
      <c r="E18" s="15">
        <f>Market!C18</f>
        <v>8.6918664018413194E-2</v>
      </c>
    </row>
    <row r="19" spans="2:5" x14ac:dyDescent="0.2">
      <c r="B19" s="6" t="s">
        <v>16</v>
      </c>
      <c r="C19" s="15">
        <f>'Business Plan &amp; DCF'!C25</f>
        <v>-0.15449735449735447</v>
      </c>
      <c r="D19" s="15">
        <f>'Business Plan &amp; DCF'!C43</f>
        <v>-6.5497076023391942E-2</v>
      </c>
      <c r="E19" s="15">
        <f>'Business Plan &amp; DCF'!C61</f>
        <v>3.1298904538346051E-4</v>
      </c>
    </row>
    <row r="21" spans="2:5" x14ac:dyDescent="0.2">
      <c r="B21" s="4" t="s">
        <v>17</v>
      </c>
      <c r="C21" s="5"/>
      <c r="D21" s="5"/>
      <c r="E21" s="5"/>
    </row>
    <row r="22" spans="2:5" ht="30" customHeight="1" x14ac:dyDescent="0.2">
      <c r="B22" s="1" t="str">
        <f>"1. Attractive market: relevant categories grow at ~"&amp;TEXT(Market!C7,"0%")&amp;" a year to Rs "&amp;TEXT(Inputs!$C$19,"#,##0")&amp;" cr by 2027, and Capital Foods leads Schezwan chutney with an 87% share."</f>
        <v>1. Attractive market: relevant categories grow at ~14% a year to Rs 41,600 cr by 2027, and Capital Foods leads Schezwan chutney with an 87% share.</v>
      </c>
      <c r="C22" s="1"/>
      <c r="D22" s="1"/>
      <c r="E22" s="1"/>
    </row>
    <row r="23" spans="2:5" ht="30" customHeight="1" x14ac:dyDescent="0.2">
      <c r="B23" s="1" t="str">
        <f>"2. Full price: Rs 5,100 cr is "&amp;TEXT(C7,"0.0")&amp;"x sales and "&amp;TEXT(C8,"0")&amp;"x EBITDA, above the "&amp;TEXT(C9,"0.0")&amp;"x precedent median, close to TCPL's own "&amp;TEXT(C10,"0.0")&amp;"x."</f>
        <v>2. Full price: Rs 5,100 cr is 6.8x sales and 34x EBITDA, above the 4.9x precedent median, close to TCPL's own 6.6x.</v>
      </c>
      <c r="C23" s="1"/>
      <c r="D23" s="1"/>
      <c r="E23" s="1"/>
    </row>
    <row r="24" spans="2:5" ht="30" customHeight="1" x14ac:dyDescent="0.2">
      <c r="B24" s="1" t="str">
        <f>"3. The price needs the growth thesis: value to TCPL is Rs "&amp;TEXT(C16,"#,##0")&amp;" cr in the management case but Rs "&amp;TEXT(D16,"#,##0")&amp;" cr in the base case, vs. Rs 5,100 cr paid."</f>
        <v>3. The price needs the growth thesis: value to TCPL is Rs 6,454 cr in the management case but Rs 4,028 cr in the base case, vs. Rs 5,100 cr paid.</v>
      </c>
      <c r="C24" s="1"/>
      <c r="D24" s="1"/>
      <c r="E24" s="1"/>
    </row>
    <row r="25" spans="2:5" ht="30" customHeight="1" x14ac:dyDescent="0.2">
      <c r="B25" s="1" t="str">
        <f>"4. Year 1 undershot: FY25 revenue grew "&amp;TEXT(Market!C15,"0.0%")&amp;", "&amp;TEXT(Market!D15,"0.0")&amp;"x the market rate vs. the ~2x thesis; distribution synergies are the key lever."</f>
        <v>4. Year 1 undershot: FY25 revenue grew 6.5%, 0.5x the market rate vs. the ~2x thesis; distribution synergies are the key lever.</v>
      </c>
      <c r="C25" s="1"/>
      <c r="D25" s="1"/>
      <c r="E25" s="1"/>
    </row>
    <row r="26" spans="2:5" ht="30" customHeight="1" x14ac:dyDescent="0.2">
      <c r="B26" s="1" t="str">
        <f>"5. EPS impact ("&amp;Accretion!C32&amp;" case): "&amp;TEXT(Accretion!D28,"0.0%;-0.0%")&amp;" in FY25 and "&amp;TEXT(Accretion!E28,"0.0%;-0.0%")&amp;" in FY26, vs. TCPL guidance of EPS breakeven in year 2."</f>
        <v>5. EPS impact (Base case): -11.2% in FY25 and -6.0% in FY26, vs. TCPL guidance of EPS breakeven in year 2.</v>
      </c>
      <c r="C26" s="1"/>
      <c r="D26" s="1"/>
      <c r="E26" s="1"/>
    </row>
    <row r="28" spans="2:5" x14ac:dyDescent="0.2">
      <c r="B28" s="4" t="s">
        <v>18</v>
      </c>
      <c r="C28" s="5"/>
      <c r="D28" s="5"/>
      <c r="E28" s="5"/>
    </row>
    <row r="29" spans="2:5" ht="25.5" customHeight="1" x14ac:dyDescent="0.2">
      <c r="B29" s="1" t="s">
        <v>19</v>
      </c>
      <c r="C29" s="1"/>
      <c r="D29" s="1"/>
      <c r="E29" s="1"/>
    </row>
    <row r="30" spans="2:5" ht="25.5" customHeight="1" x14ac:dyDescent="0.2">
      <c r="B30" s="1" t="s">
        <v>20</v>
      </c>
      <c r="C30" s="1"/>
      <c r="D30" s="1"/>
      <c r="E30" s="1"/>
    </row>
    <row r="31" spans="2:5" ht="25.5" customHeight="1" x14ac:dyDescent="0.2">
      <c r="B31" s="1" t="s">
        <v>21</v>
      </c>
      <c r="C31" s="1"/>
      <c r="D31" s="1"/>
      <c r="E31" s="1"/>
    </row>
    <row r="33" spans="2:5" x14ac:dyDescent="0.2">
      <c r="B33" s="4" t="s">
        <v>22</v>
      </c>
      <c r="C33" s="5"/>
      <c r="D33" s="5"/>
      <c r="E33" s="5"/>
    </row>
    <row r="34" spans="2:5" x14ac:dyDescent="0.2">
      <c r="B34" s="16" t="s">
        <v>23</v>
      </c>
    </row>
    <row r="35" spans="2:5" x14ac:dyDescent="0.2">
      <c r="B35" s="17" t="s">
        <v>24</v>
      </c>
    </row>
    <row r="36" spans="2:5" x14ac:dyDescent="0.2">
      <c r="B36" s="18" t="s">
        <v>25</v>
      </c>
    </row>
    <row r="37" spans="2:5" x14ac:dyDescent="0.2">
      <c r="B37" s="19" t="s">
        <v>26</v>
      </c>
    </row>
    <row r="38" spans="2:5" x14ac:dyDescent="0.2">
      <c r="B38" s="20" t="s">
        <v>27</v>
      </c>
    </row>
  </sheetData>
  <mergeCells count="8">
    <mergeCell ref="B29:E29"/>
    <mergeCell ref="B30:E30"/>
    <mergeCell ref="B31:E31"/>
    <mergeCell ref="B22:E22"/>
    <mergeCell ref="B23:E23"/>
    <mergeCell ref="B24:E24"/>
    <mergeCell ref="B25:E25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9"/>
  <sheetViews>
    <sheetView showGridLines="0" zoomScaleNormal="100" workbookViewId="0">
      <selection activeCell="C3" sqref="C3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2" customWidth="1"/>
    <col min="4" max="9" width="10" customWidth="1"/>
    <col min="10" max="10" width="70" customWidth="1"/>
  </cols>
  <sheetData>
    <row r="2" spans="2:10" ht="18" x14ac:dyDescent="0.2">
      <c r="B2" s="21" t="s">
        <v>28</v>
      </c>
    </row>
    <row r="3" spans="2:10" x14ac:dyDescent="0.2">
      <c r="B3" s="73" t="s">
        <v>29</v>
      </c>
    </row>
    <row r="5" spans="2:10" x14ac:dyDescent="0.2">
      <c r="B5" s="4" t="s">
        <v>30</v>
      </c>
      <c r="C5" s="5"/>
      <c r="D5" s="5"/>
      <c r="E5" s="5"/>
      <c r="F5" s="5"/>
      <c r="G5" s="5"/>
      <c r="H5" s="5"/>
      <c r="I5" s="5"/>
      <c r="J5" s="5"/>
    </row>
    <row r="6" spans="2:10" x14ac:dyDescent="0.2">
      <c r="B6" s="6" t="s">
        <v>31</v>
      </c>
      <c r="C6" s="23">
        <v>5100</v>
      </c>
      <c r="D6" s="3" t="s">
        <v>32</v>
      </c>
      <c r="J6" s="3" t="s">
        <v>33</v>
      </c>
    </row>
    <row r="7" spans="2:10" x14ac:dyDescent="0.2">
      <c r="B7" s="6" t="s">
        <v>34</v>
      </c>
      <c r="C7" s="24">
        <v>0.75</v>
      </c>
      <c r="D7" s="3"/>
      <c r="J7" s="3" t="s">
        <v>35</v>
      </c>
    </row>
    <row r="8" spans="2:10" x14ac:dyDescent="0.2">
      <c r="B8" s="6" t="s">
        <v>36</v>
      </c>
      <c r="C8" s="25">
        <v>1152.05</v>
      </c>
      <c r="D8" s="3" t="s">
        <v>37</v>
      </c>
      <c r="J8" s="3" t="s">
        <v>38</v>
      </c>
    </row>
    <row r="9" spans="2:10" x14ac:dyDescent="0.2">
      <c r="B9" s="6" t="s">
        <v>39</v>
      </c>
      <c r="C9" s="23">
        <v>750</v>
      </c>
      <c r="D9" s="3" t="s">
        <v>32</v>
      </c>
      <c r="J9" s="3" t="s">
        <v>40</v>
      </c>
    </row>
    <row r="10" spans="2:10" x14ac:dyDescent="0.2">
      <c r="B10" s="6" t="s">
        <v>41</v>
      </c>
      <c r="C10" s="26">
        <v>705.5</v>
      </c>
      <c r="D10" s="3" t="s">
        <v>32</v>
      </c>
      <c r="J10" s="3" t="s">
        <v>42</v>
      </c>
    </row>
    <row r="11" spans="2:10" x14ac:dyDescent="0.2">
      <c r="B11" s="6" t="s">
        <v>43</v>
      </c>
      <c r="C11" s="23">
        <v>799</v>
      </c>
      <c r="D11" s="3" t="s">
        <v>32</v>
      </c>
      <c r="J11" s="3" t="s">
        <v>44</v>
      </c>
    </row>
    <row r="12" spans="2:10" x14ac:dyDescent="0.2">
      <c r="B12" s="6" t="s">
        <v>45</v>
      </c>
      <c r="C12" s="23">
        <v>119</v>
      </c>
      <c r="D12" s="3" t="s">
        <v>32</v>
      </c>
      <c r="J12" s="3" t="s">
        <v>44</v>
      </c>
    </row>
    <row r="13" spans="2:10" x14ac:dyDescent="0.2">
      <c r="B13" s="6" t="s">
        <v>46</v>
      </c>
      <c r="C13" s="27">
        <v>0.2</v>
      </c>
      <c r="D13" s="3"/>
      <c r="J13" s="3" t="s">
        <v>47</v>
      </c>
    </row>
    <row r="14" spans="2:10" x14ac:dyDescent="0.2">
      <c r="B14" s="6" t="s">
        <v>48</v>
      </c>
      <c r="C14" s="27">
        <v>0.5</v>
      </c>
      <c r="D14" s="3"/>
      <c r="J14" s="3" t="s">
        <v>49</v>
      </c>
    </row>
    <row r="15" spans="2:10" x14ac:dyDescent="0.2">
      <c r="B15" s="6" t="s">
        <v>50</v>
      </c>
      <c r="C15" s="27">
        <v>0.17</v>
      </c>
      <c r="D15" s="3"/>
      <c r="J15" s="3" t="s">
        <v>51</v>
      </c>
    </row>
    <row r="17" spans="2:10" x14ac:dyDescent="0.2">
      <c r="B17" s="4" t="s">
        <v>52</v>
      </c>
      <c r="C17" s="5"/>
      <c r="D17" s="5"/>
      <c r="E17" s="5"/>
      <c r="F17" s="5"/>
      <c r="G17" s="5"/>
      <c r="H17" s="5"/>
      <c r="I17" s="5"/>
      <c r="J17" s="5"/>
    </row>
    <row r="18" spans="2:10" x14ac:dyDescent="0.2">
      <c r="B18" s="6" t="s">
        <v>53</v>
      </c>
      <c r="C18" s="23">
        <v>21400</v>
      </c>
      <c r="D18" s="3" t="s">
        <v>32</v>
      </c>
      <c r="J18" s="3" t="s">
        <v>54</v>
      </c>
    </row>
    <row r="19" spans="2:10" x14ac:dyDescent="0.2">
      <c r="B19" s="6" t="s">
        <v>55</v>
      </c>
      <c r="C19" s="23">
        <v>41600</v>
      </c>
      <c r="D19" s="3" t="s">
        <v>32</v>
      </c>
      <c r="J19" s="3" t="s">
        <v>56</v>
      </c>
    </row>
    <row r="20" spans="2:10" x14ac:dyDescent="0.2">
      <c r="B20" s="6" t="s">
        <v>57</v>
      </c>
      <c r="C20" s="25">
        <v>0.4</v>
      </c>
      <c r="D20" s="3" t="s">
        <v>58</v>
      </c>
      <c r="J20" s="3" t="s">
        <v>59</v>
      </c>
    </row>
    <row r="21" spans="2:10" x14ac:dyDescent="0.2">
      <c r="B21" s="6" t="s">
        <v>60</v>
      </c>
      <c r="C21" s="25">
        <v>3.8</v>
      </c>
      <c r="D21" s="3" t="s">
        <v>58</v>
      </c>
      <c r="J21" s="3" t="s">
        <v>61</v>
      </c>
    </row>
    <row r="23" spans="2:10" x14ac:dyDescent="0.2">
      <c r="B23" s="4" t="s">
        <v>62</v>
      </c>
      <c r="C23" s="5"/>
      <c r="D23" s="5"/>
      <c r="E23" s="5"/>
      <c r="F23" s="5"/>
      <c r="G23" s="5"/>
      <c r="H23" s="5"/>
      <c r="I23" s="5"/>
      <c r="J23" s="5"/>
    </row>
    <row r="24" spans="2:10" x14ac:dyDescent="0.2">
      <c r="B24" s="6" t="s">
        <v>63</v>
      </c>
      <c r="C24" s="23">
        <v>15206</v>
      </c>
      <c r="D24" s="3" t="s">
        <v>32</v>
      </c>
      <c r="J24" s="3" t="s">
        <v>64</v>
      </c>
    </row>
    <row r="25" spans="2:10" x14ac:dyDescent="0.2">
      <c r="B25" s="6" t="s">
        <v>65</v>
      </c>
      <c r="C25" s="23">
        <v>2323</v>
      </c>
      <c r="D25" s="3" t="s">
        <v>32</v>
      </c>
      <c r="J25" s="3" t="s">
        <v>64</v>
      </c>
    </row>
    <row r="26" spans="2:10" x14ac:dyDescent="0.2">
      <c r="B26" s="6" t="s">
        <v>66</v>
      </c>
      <c r="C26" s="26">
        <v>1150.33</v>
      </c>
      <c r="D26" s="3" t="s">
        <v>32</v>
      </c>
      <c r="J26" s="3" t="s">
        <v>67</v>
      </c>
    </row>
    <row r="27" spans="2:10" x14ac:dyDescent="0.2">
      <c r="B27" s="6" t="s">
        <v>68</v>
      </c>
      <c r="C27" s="23">
        <v>100000</v>
      </c>
      <c r="D27" s="3" t="s">
        <v>32</v>
      </c>
      <c r="J27" s="3" t="s">
        <v>69</v>
      </c>
    </row>
    <row r="28" spans="2:10" x14ac:dyDescent="0.2">
      <c r="B28" s="6" t="s">
        <v>70</v>
      </c>
      <c r="C28" s="25">
        <v>95.16</v>
      </c>
      <c r="D28" s="3" t="s">
        <v>71</v>
      </c>
      <c r="J28" s="3" t="s">
        <v>72</v>
      </c>
    </row>
    <row r="29" spans="2:10" x14ac:dyDescent="0.2">
      <c r="B29" s="6" t="s">
        <v>73</v>
      </c>
      <c r="C29" s="27">
        <v>0.1</v>
      </c>
      <c r="D29" s="3"/>
      <c r="J29" s="3" t="s">
        <v>74</v>
      </c>
    </row>
    <row r="30" spans="2:10" x14ac:dyDescent="0.2">
      <c r="B30" s="6" t="s">
        <v>75</v>
      </c>
      <c r="C30" s="27">
        <v>0.25</v>
      </c>
      <c r="D30" s="3"/>
      <c r="J30" s="3" t="s">
        <v>76</v>
      </c>
    </row>
    <row r="32" spans="2:10" x14ac:dyDescent="0.2">
      <c r="B32" s="4" t="s">
        <v>77</v>
      </c>
      <c r="C32" s="5"/>
      <c r="D32" s="5"/>
      <c r="E32" s="5"/>
      <c r="F32" s="5"/>
      <c r="G32" s="5"/>
      <c r="H32" s="5"/>
      <c r="I32" s="5"/>
      <c r="J32" s="5"/>
    </row>
    <row r="33" spans="2:10" x14ac:dyDescent="0.2">
      <c r="B33" s="6" t="s">
        <v>78</v>
      </c>
      <c r="C33" s="23">
        <v>3000</v>
      </c>
      <c r="D33" s="3" t="s">
        <v>32</v>
      </c>
      <c r="J33" s="3" t="s">
        <v>79</v>
      </c>
    </row>
    <row r="34" spans="2:10" x14ac:dyDescent="0.2">
      <c r="B34" s="6" t="s">
        <v>80</v>
      </c>
      <c r="C34" s="25">
        <v>818</v>
      </c>
      <c r="D34" s="3" t="s">
        <v>37</v>
      </c>
      <c r="J34" s="3" t="s">
        <v>81</v>
      </c>
    </row>
    <row r="35" spans="2:10" x14ac:dyDescent="0.2">
      <c r="B35" s="6" t="s">
        <v>82</v>
      </c>
      <c r="C35" s="23">
        <v>7000</v>
      </c>
      <c r="D35" s="3" t="s">
        <v>32</v>
      </c>
      <c r="J35" s="3" t="s">
        <v>42</v>
      </c>
    </row>
    <row r="36" spans="2:10" x14ac:dyDescent="0.2">
      <c r="B36" s="6" t="s">
        <v>83</v>
      </c>
      <c r="C36" s="28">
        <f>C33/C35</f>
        <v>0.42857142857142855</v>
      </c>
      <c r="D36" s="3"/>
      <c r="J36" s="3" t="s">
        <v>84</v>
      </c>
    </row>
    <row r="37" spans="2:10" x14ac:dyDescent="0.2">
      <c r="B37" s="6" t="s">
        <v>85</v>
      </c>
      <c r="C37" s="29">
        <v>7.7499999999999999E-2</v>
      </c>
      <c r="D37" s="3"/>
      <c r="J37" s="3" t="s">
        <v>86</v>
      </c>
    </row>
    <row r="38" spans="2:10" x14ac:dyDescent="0.2">
      <c r="B38" s="6" t="s">
        <v>87</v>
      </c>
      <c r="C38" s="27">
        <v>0.15</v>
      </c>
      <c r="D38" s="3"/>
      <c r="J38" s="3" t="s">
        <v>88</v>
      </c>
    </row>
    <row r="39" spans="2:10" x14ac:dyDescent="0.2">
      <c r="B39" s="6" t="s">
        <v>89</v>
      </c>
      <c r="C39" s="30">
        <v>15</v>
      </c>
      <c r="D39" s="3" t="s">
        <v>90</v>
      </c>
      <c r="J39" s="3" t="s">
        <v>74</v>
      </c>
    </row>
    <row r="40" spans="2:10" x14ac:dyDescent="0.2">
      <c r="B40" s="6" t="s">
        <v>91</v>
      </c>
      <c r="C40" s="23">
        <v>40</v>
      </c>
      <c r="D40" s="3" t="s">
        <v>32</v>
      </c>
      <c r="J40" s="3" t="s">
        <v>74</v>
      </c>
    </row>
    <row r="42" spans="2:10" x14ac:dyDescent="0.2">
      <c r="B42" s="4" t="s">
        <v>92</v>
      </c>
      <c r="C42" s="5"/>
      <c r="D42" s="5"/>
      <c r="E42" s="5"/>
      <c r="F42" s="5"/>
      <c r="G42" s="5"/>
      <c r="H42" s="5"/>
      <c r="I42" s="5"/>
      <c r="J42" s="5"/>
    </row>
    <row r="43" spans="2:10" x14ac:dyDescent="0.2">
      <c r="B43" s="6" t="s">
        <v>93</v>
      </c>
      <c r="C43" s="27">
        <v>7.1999999999999995E-2</v>
      </c>
      <c r="D43" s="3"/>
      <c r="J43" s="3" t="s">
        <v>94</v>
      </c>
    </row>
    <row r="44" spans="2:10" x14ac:dyDescent="0.2">
      <c r="B44" s="6" t="s">
        <v>95</v>
      </c>
      <c r="C44" s="31">
        <v>0.6</v>
      </c>
      <c r="D44" s="3"/>
      <c r="J44" s="3" t="s">
        <v>96</v>
      </c>
    </row>
    <row r="45" spans="2:10" x14ac:dyDescent="0.2">
      <c r="B45" s="6" t="s">
        <v>97</v>
      </c>
      <c r="C45" s="27">
        <v>5.5E-2</v>
      </c>
      <c r="D45" s="3"/>
      <c r="J45" s="3" t="s">
        <v>74</v>
      </c>
    </row>
    <row r="46" spans="2:10" x14ac:dyDescent="0.2">
      <c r="B46" s="6" t="s">
        <v>98</v>
      </c>
      <c r="C46" s="29">
        <v>5.5E-2</v>
      </c>
      <c r="D46" s="3"/>
      <c r="J46" s="3" t="s">
        <v>99</v>
      </c>
    </row>
    <row r="47" spans="2:10" x14ac:dyDescent="0.2">
      <c r="B47" s="6" t="s">
        <v>100</v>
      </c>
      <c r="C47" s="27">
        <v>0.02</v>
      </c>
      <c r="D47" s="3"/>
      <c r="J47" s="3" t="s">
        <v>101</v>
      </c>
    </row>
    <row r="48" spans="2:10" x14ac:dyDescent="0.2">
      <c r="B48" s="6" t="s">
        <v>102</v>
      </c>
      <c r="C48" s="27">
        <v>0.03</v>
      </c>
      <c r="D48" s="3"/>
      <c r="J48" s="3" t="s">
        <v>74</v>
      </c>
    </row>
    <row r="49" spans="2:10" x14ac:dyDescent="0.2">
      <c r="B49" s="6" t="s">
        <v>103</v>
      </c>
      <c r="C49" s="27">
        <v>0.12</v>
      </c>
      <c r="D49" s="3"/>
      <c r="J49" s="3" t="s">
        <v>74</v>
      </c>
    </row>
    <row r="50" spans="2:10" x14ac:dyDescent="0.2">
      <c r="B50" s="6" t="s">
        <v>104</v>
      </c>
      <c r="C50" s="32">
        <v>2</v>
      </c>
      <c r="D50" s="3"/>
      <c r="J50" s="3" t="s">
        <v>105</v>
      </c>
    </row>
    <row r="52" spans="2:10" x14ac:dyDescent="0.2">
      <c r="B52" s="4" t="s">
        <v>106</v>
      </c>
      <c r="C52" s="5"/>
      <c r="D52" s="5"/>
      <c r="E52" s="5"/>
      <c r="F52" s="5"/>
      <c r="G52" s="5"/>
      <c r="H52" s="5"/>
      <c r="I52" s="5"/>
      <c r="J52" s="5"/>
    </row>
    <row r="53" spans="2:10" x14ac:dyDescent="0.2">
      <c r="D53" s="33" t="s">
        <v>107</v>
      </c>
      <c r="E53" s="33" t="s">
        <v>108</v>
      </c>
      <c r="F53" s="33" t="s">
        <v>109</v>
      </c>
      <c r="G53" s="33" t="s">
        <v>110</v>
      </c>
      <c r="H53" s="33" t="s">
        <v>111</v>
      </c>
    </row>
    <row r="54" spans="2:10" x14ac:dyDescent="0.2">
      <c r="B54" s="12" t="s">
        <v>112</v>
      </c>
      <c r="D54" s="27">
        <v>0.26</v>
      </c>
      <c r="E54" s="27">
        <v>0.25</v>
      </c>
      <c r="F54" s="27">
        <v>0.24</v>
      </c>
      <c r="G54" s="27">
        <v>0.22</v>
      </c>
      <c r="H54" s="27">
        <v>0.2</v>
      </c>
      <c r="J54" s="3" t="s">
        <v>113</v>
      </c>
    </row>
    <row r="55" spans="2:10" x14ac:dyDescent="0.2">
      <c r="B55" s="6" t="s">
        <v>114</v>
      </c>
      <c r="D55" s="27">
        <v>0.21</v>
      </c>
      <c r="E55" s="27">
        <v>0.215</v>
      </c>
      <c r="F55" s="27">
        <v>0.22</v>
      </c>
      <c r="G55" s="27">
        <v>0.22500000000000001</v>
      </c>
      <c r="H55" s="27">
        <v>0.23</v>
      </c>
      <c r="J55" s="3" t="s">
        <v>74</v>
      </c>
    </row>
    <row r="56" spans="2:10" x14ac:dyDescent="0.2">
      <c r="B56" s="12" t="s">
        <v>115</v>
      </c>
      <c r="D56" s="27">
        <v>0.14000000000000001</v>
      </c>
      <c r="E56" s="27">
        <v>0.14000000000000001</v>
      </c>
      <c r="F56" s="27">
        <v>0.14000000000000001</v>
      </c>
      <c r="G56" s="27">
        <v>0.14000000000000001</v>
      </c>
      <c r="H56" s="27">
        <v>0.14000000000000001</v>
      </c>
      <c r="J56" s="3" t="s">
        <v>116</v>
      </c>
    </row>
    <row r="57" spans="2:10" x14ac:dyDescent="0.2">
      <c r="B57" s="6" t="s">
        <v>117</v>
      </c>
      <c r="D57" s="27">
        <v>0.2</v>
      </c>
      <c r="E57" s="27">
        <v>0.20250000000000001</v>
      </c>
      <c r="F57" s="27">
        <v>0.20499999999999999</v>
      </c>
      <c r="G57" s="27">
        <v>0.20749999999999999</v>
      </c>
      <c r="H57" s="27">
        <v>0.21</v>
      </c>
      <c r="J57" s="3" t="s">
        <v>74</v>
      </c>
    </row>
    <row r="58" spans="2:10" x14ac:dyDescent="0.2">
      <c r="B58" s="12" t="s">
        <v>118</v>
      </c>
      <c r="D58" s="27">
        <v>6.5000000000000002E-2</v>
      </c>
      <c r="E58" s="27">
        <v>0.08</v>
      </c>
      <c r="F58" s="27">
        <v>0.09</v>
      </c>
      <c r="G58" s="27">
        <v>0.1</v>
      </c>
      <c r="H58" s="27">
        <v>0.1</v>
      </c>
      <c r="J58" s="3" t="s">
        <v>119</v>
      </c>
    </row>
    <row r="59" spans="2:10" x14ac:dyDescent="0.2">
      <c r="B59" s="6" t="s">
        <v>120</v>
      </c>
      <c r="D59" s="27">
        <v>0.2</v>
      </c>
      <c r="E59" s="27">
        <v>0.2</v>
      </c>
      <c r="F59" s="27">
        <v>0.2</v>
      </c>
      <c r="G59" s="27">
        <v>0.2</v>
      </c>
      <c r="H59" s="27">
        <v>0.2</v>
      </c>
      <c r="J59" s="3" t="s">
        <v>74</v>
      </c>
    </row>
    <row r="61" spans="2:10" x14ac:dyDescent="0.2">
      <c r="B61" s="4" t="s">
        <v>121</v>
      </c>
      <c r="C61" s="5"/>
      <c r="D61" s="5"/>
      <c r="E61" s="5"/>
      <c r="F61" s="5"/>
      <c r="G61" s="5"/>
      <c r="H61" s="5"/>
      <c r="I61" s="5"/>
      <c r="J61" s="5"/>
    </row>
    <row r="62" spans="2:10" x14ac:dyDescent="0.2">
      <c r="D62" s="33" t="s">
        <v>107</v>
      </c>
      <c r="E62" s="33" t="s">
        <v>108</v>
      </c>
      <c r="F62" s="33" t="s">
        <v>109</v>
      </c>
      <c r="G62" s="33" t="s">
        <v>110</v>
      </c>
      <c r="H62" s="33" t="s">
        <v>111</v>
      </c>
    </row>
    <row r="63" spans="2:10" x14ac:dyDescent="0.2">
      <c r="B63" s="6" t="s">
        <v>122</v>
      </c>
      <c r="D63" s="25">
        <v>0.1</v>
      </c>
      <c r="E63" s="25">
        <v>0.2</v>
      </c>
      <c r="F63" s="25">
        <v>0.3</v>
      </c>
      <c r="G63" s="25">
        <v>0.4</v>
      </c>
      <c r="H63" s="25">
        <v>0.5</v>
      </c>
      <c r="J63" s="3" t="s">
        <v>123</v>
      </c>
    </row>
    <row r="64" spans="2:10" x14ac:dyDescent="0.2">
      <c r="B64" s="6" t="s">
        <v>124</v>
      </c>
      <c r="D64" s="24">
        <v>0.5</v>
      </c>
      <c r="E64" s="24">
        <v>1</v>
      </c>
      <c r="F64" s="24">
        <v>1</v>
      </c>
      <c r="G64" s="24">
        <v>1</v>
      </c>
      <c r="H64" s="24">
        <v>1</v>
      </c>
      <c r="J64" s="3" t="s">
        <v>74</v>
      </c>
    </row>
    <row r="65" spans="2:10" x14ac:dyDescent="0.2">
      <c r="B65" s="6" t="s">
        <v>125</v>
      </c>
      <c r="C65" s="29">
        <v>0.2</v>
      </c>
      <c r="D65" s="3"/>
      <c r="J65" s="3" t="s">
        <v>126</v>
      </c>
    </row>
    <row r="66" spans="2:10" x14ac:dyDescent="0.2">
      <c r="B66" s="6" t="s">
        <v>127</v>
      </c>
      <c r="C66" s="27">
        <v>0.05</v>
      </c>
      <c r="D66" s="3"/>
      <c r="J66" s="3" t="s">
        <v>128</v>
      </c>
    </row>
    <row r="67" spans="2:10" x14ac:dyDescent="0.2">
      <c r="B67" s="6" t="s">
        <v>129</v>
      </c>
      <c r="C67" s="27">
        <v>0.25</v>
      </c>
      <c r="D67" s="3"/>
      <c r="J67" s="3" t="s">
        <v>130</v>
      </c>
    </row>
    <row r="68" spans="2:10" x14ac:dyDescent="0.2">
      <c r="B68" s="6" t="s">
        <v>131</v>
      </c>
      <c r="C68" s="29">
        <v>0.02</v>
      </c>
      <c r="D68" s="3"/>
      <c r="J68" s="3" t="s">
        <v>132</v>
      </c>
    </row>
    <row r="69" spans="2:10" x14ac:dyDescent="0.2">
      <c r="B69" s="6" t="s">
        <v>133</v>
      </c>
      <c r="C69" s="34">
        <v>1</v>
      </c>
      <c r="D69" s="3"/>
      <c r="J69" s="3" t="s">
        <v>134</v>
      </c>
    </row>
  </sheetData>
  <dataValidations count="1">
    <dataValidation type="whole" sqref="C50" xr:uid="{00000000-0002-0000-0100-000000000000}">
      <formula1>1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7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8" width="12" customWidth="1"/>
    <col min="9" max="9" width="4" customWidth="1"/>
    <col min="10" max="10" width="50" customWidth="1"/>
  </cols>
  <sheetData>
    <row r="2" spans="2:10" ht="18" x14ac:dyDescent="0.2">
      <c r="B2" s="21" t="s">
        <v>135</v>
      </c>
    </row>
    <row r="3" spans="2:10" x14ac:dyDescent="0.2">
      <c r="B3" s="73" t="s">
        <v>136</v>
      </c>
    </row>
    <row r="5" spans="2:10" x14ac:dyDescent="0.2">
      <c r="B5" s="4" t="s">
        <v>137</v>
      </c>
      <c r="C5" s="5"/>
      <c r="D5" s="5"/>
      <c r="E5" s="5"/>
      <c r="F5" s="5"/>
      <c r="G5" s="5"/>
      <c r="H5" s="5"/>
    </row>
    <row r="6" spans="2:10" x14ac:dyDescent="0.2">
      <c r="B6" s="35" t="s">
        <v>138</v>
      </c>
      <c r="C6" s="10" t="s">
        <v>139</v>
      </c>
      <c r="D6" s="10" t="s">
        <v>140</v>
      </c>
      <c r="E6" s="10" t="s">
        <v>141</v>
      </c>
      <c r="F6" s="10" t="s">
        <v>142</v>
      </c>
      <c r="G6" s="10" t="s">
        <v>143</v>
      </c>
      <c r="H6" s="10" t="s">
        <v>144</v>
      </c>
    </row>
    <row r="7" spans="2:10" x14ac:dyDescent="0.2">
      <c r="B7" s="6" t="s">
        <v>145</v>
      </c>
      <c r="C7" s="36">
        <f>(Inputs!$C$19/Inputs!$C$18)^(1/5)-1</f>
        <v>0.14218357733717557</v>
      </c>
    </row>
    <row r="8" spans="2:10" x14ac:dyDescent="0.2">
      <c r="B8" s="12" t="s">
        <v>146</v>
      </c>
      <c r="C8" s="7">
        <f>Inputs!$C$18</f>
        <v>21400</v>
      </c>
      <c r="D8" s="37">
        <f>C8*(1+$C$7)</f>
        <v>24442.728555015558</v>
      </c>
      <c r="E8" s="37">
        <f>D8*(1+$C$7)</f>
        <v>27918.083140849201</v>
      </c>
      <c r="F8" s="37">
        <f>E8*(1+$C$7)</f>
        <v>31887.576074211833</v>
      </c>
      <c r="G8" s="37">
        <f>F8*(1+$C$7)</f>
        <v>36421.465713054604</v>
      </c>
      <c r="H8" s="37">
        <f>G8*(1+$C$7)</f>
        <v>41599.999999999993</v>
      </c>
    </row>
    <row r="9" spans="2:10" x14ac:dyDescent="0.2">
      <c r="B9" s="6" t="s">
        <v>147</v>
      </c>
      <c r="E9" s="15">
        <f>Inputs!$C$9/E8</f>
        <v>2.686430856359957E-2</v>
      </c>
    </row>
    <row r="11" spans="2:10" x14ac:dyDescent="0.2">
      <c r="B11" s="4" t="s">
        <v>148</v>
      </c>
      <c r="C11" s="5"/>
      <c r="D11" s="5"/>
      <c r="E11" s="5"/>
      <c r="F11" s="5"/>
      <c r="G11" s="5"/>
      <c r="H11" s="5"/>
    </row>
    <row r="12" spans="2:10" x14ac:dyDescent="0.2">
      <c r="B12" s="9"/>
      <c r="C12" s="10" t="s">
        <v>149</v>
      </c>
      <c r="D12" s="10" t="s">
        <v>150</v>
      </c>
    </row>
    <row r="13" spans="2:10" x14ac:dyDescent="0.2">
      <c r="B13" s="6" t="s">
        <v>151</v>
      </c>
      <c r="C13" s="38">
        <f>C7</f>
        <v>0.14218357733717557</v>
      </c>
      <c r="D13" s="39">
        <v>1</v>
      </c>
    </row>
    <row r="14" spans="2:10" x14ac:dyDescent="0.2">
      <c r="B14" s="6" t="s">
        <v>152</v>
      </c>
      <c r="C14" s="15">
        <f>Inputs!$C$9/Inputs!$C$10-1</f>
        <v>6.3075832742735649E-2</v>
      </c>
      <c r="D14" s="39">
        <f>C14/$C$13</f>
        <v>0.44362249089539352</v>
      </c>
    </row>
    <row r="15" spans="2:10" ht="39.75" customHeight="1" x14ac:dyDescent="0.2">
      <c r="B15" s="12" t="s">
        <v>153</v>
      </c>
      <c r="C15" s="40">
        <f>Inputs!$C$11/Inputs!$C$9-1</f>
        <v>6.5333333333333243E-2</v>
      </c>
      <c r="D15" s="41">
        <f>C15/$C$13</f>
        <v>0.45949985615006095</v>
      </c>
      <c r="J15" s="42" t="s">
        <v>154</v>
      </c>
    </row>
    <row r="16" spans="2:10" x14ac:dyDescent="0.2">
      <c r="B16" s="6" t="s">
        <v>155</v>
      </c>
      <c r="C16" s="15">
        <f>((1+Inputs!D54)*(1+Inputs!E54)*(1+Inputs!F54)*(1+Inputs!G54)*(1+Inputs!H54))^(1/5)-1</f>
        <v>0.23381107426013137</v>
      </c>
      <c r="D16" s="39">
        <f>C16/$C$13</f>
        <v>1.644430943706455</v>
      </c>
    </row>
    <row r="17" spans="2:10" x14ac:dyDescent="0.2">
      <c r="B17" s="6" t="s">
        <v>156</v>
      </c>
      <c r="C17" s="15">
        <f>((1+Inputs!D56)*(1+Inputs!E56)*(1+Inputs!F56)*(1+Inputs!G56)*(1+Inputs!H56))^(1/5)-1</f>
        <v>0.14000000000000012</v>
      </c>
      <c r="D17" s="39">
        <f>C17/$C$13</f>
        <v>0.98464254889298997</v>
      </c>
    </row>
    <row r="18" spans="2:10" x14ac:dyDescent="0.2">
      <c r="B18" s="6" t="s">
        <v>157</v>
      </c>
      <c r="C18" s="15">
        <f>((1+Inputs!D58)*(1+Inputs!E58)*(1+Inputs!F58)*(1+Inputs!G58)*(1+Inputs!H58))^(1/5)-1</f>
        <v>8.6918664018413194E-2</v>
      </c>
      <c r="D18" s="39">
        <f>C18/$C$13</f>
        <v>0.61131296346759789</v>
      </c>
    </row>
    <row r="20" spans="2:10" x14ac:dyDescent="0.2">
      <c r="B20" s="4" t="s">
        <v>158</v>
      </c>
      <c r="C20" s="5"/>
      <c r="D20" s="5"/>
      <c r="E20" s="5"/>
      <c r="F20" s="5"/>
      <c r="G20" s="5"/>
      <c r="H20" s="5"/>
    </row>
    <row r="21" spans="2:10" x14ac:dyDescent="0.2">
      <c r="B21" s="35" t="s">
        <v>159</v>
      </c>
      <c r="C21" s="10" t="s">
        <v>160</v>
      </c>
      <c r="D21" s="10" t="s">
        <v>161</v>
      </c>
    </row>
    <row r="22" spans="2:10" ht="39.75" customHeight="1" x14ac:dyDescent="0.2">
      <c r="B22" s="6" t="s">
        <v>162</v>
      </c>
      <c r="C22" s="43" t="s">
        <v>163</v>
      </c>
      <c r="D22" s="24">
        <v>0.87</v>
      </c>
      <c r="J22" s="42" t="s">
        <v>164</v>
      </c>
    </row>
    <row r="23" spans="2:10" x14ac:dyDescent="0.2">
      <c r="B23" s="6" t="s">
        <v>165</v>
      </c>
      <c r="C23" s="43" t="s">
        <v>163</v>
      </c>
      <c r="D23" s="24">
        <v>0.55000000000000004</v>
      </c>
    </row>
    <row r="24" spans="2:10" x14ac:dyDescent="0.2">
      <c r="B24" s="6" t="s">
        <v>166</v>
      </c>
      <c r="C24" s="43" t="s">
        <v>163</v>
      </c>
      <c r="D24" s="24">
        <v>0.27</v>
      </c>
    </row>
    <row r="25" spans="2:10" x14ac:dyDescent="0.2">
      <c r="B25" s="6" t="s">
        <v>167</v>
      </c>
      <c r="C25" s="43" t="s">
        <v>168</v>
      </c>
      <c r="D25" s="24">
        <v>0.27</v>
      </c>
    </row>
    <row r="26" spans="2:10" x14ac:dyDescent="0.2">
      <c r="B26" s="6" t="s">
        <v>169</v>
      </c>
      <c r="C26" s="43" t="s">
        <v>163</v>
      </c>
      <c r="D26" s="24">
        <v>0.12</v>
      </c>
    </row>
    <row r="28" spans="2:10" x14ac:dyDescent="0.2">
      <c r="B28" s="4" t="s">
        <v>170</v>
      </c>
      <c r="C28" s="5"/>
      <c r="D28" s="5"/>
      <c r="E28" s="5"/>
      <c r="F28" s="5"/>
      <c r="G28" s="5"/>
      <c r="H28" s="5"/>
    </row>
    <row r="29" spans="2:10" x14ac:dyDescent="0.2">
      <c r="B29" s="6" t="s">
        <v>171</v>
      </c>
      <c r="C29" s="44">
        <f>Inputs!$C$20</f>
        <v>0.4</v>
      </c>
    </row>
    <row r="30" spans="2:10" x14ac:dyDescent="0.2">
      <c r="B30" s="6" t="s">
        <v>172</v>
      </c>
      <c r="C30" s="44">
        <f>Inputs!$C$21</f>
        <v>3.8</v>
      </c>
    </row>
    <row r="31" spans="2:10" x14ac:dyDescent="0.2">
      <c r="B31" s="12" t="s">
        <v>173</v>
      </c>
      <c r="C31" s="41">
        <f>C30/C29</f>
        <v>9.4999999999999982</v>
      </c>
    </row>
    <row r="32" spans="2:10" x14ac:dyDescent="0.2">
      <c r="B32" s="6" t="s">
        <v>174</v>
      </c>
      <c r="C32" s="45">
        <f>C30-C29</f>
        <v>3.4</v>
      </c>
    </row>
    <row r="34" spans="2:8" x14ac:dyDescent="0.2">
      <c r="B34" s="4" t="s">
        <v>175</v>
      </c>
      <c r="C34" s="5"/>
      <c r="D34" s="5"/>
      <c r="E34" s="5"/>
      <c r="F34" s="5"/>
      <c r="G34" s="5"/>
      <c r="H34" s="5"/>
    </row>
    <row r="35" spans="2:8" x14ac:dyDescent="0.2">
      <c r="B35" s="9"/>
      <c r="C35" s="10" t="s">
        <v>176</v>
      </c>
      <c r="D35" s="10" t="s">
        <v>177</v>
      </c>
      <c r="E35" s="10" t="s">
        <v>178</v>
      </c>
    </row>
    <row r="36" spans="2:8" x14ac:dyDescent="0.2">
      <c r="B36" s="6" t="s">
        <v>179</v>
      </c>
      <c r="C36" s="24">
        <v>0.81</v>
      </c>
      <c r="D36" s="24">
        <v>0.76</v>
      </c>
      <c r="E36" s="24">
        <v>0.73</v>
      </c>
    </row>
    <row r="37" spans="2:8" x14ac:dyDescent="0.2">
      <c r="B37" s="6" t="s">
        <v>180</v>
      </c>
      <c r="C37" s="46">
        <f>1-C36</f>
        <v>0.18999999999999995</v>
      </c>
      <c r="D37" s="46">
        <f>1-D36</f>
        <v>0.24</v>
      </c>
      <c r="E37" s="46">
        <f>1-E36</f>
        <v>0.27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61"/>
  <sheetViews>
    <sheetView showGridLines="0" topLeftCell="A49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13" width="10" customWidth="1"/>
    <col min="14" max="14" width="4" customWidth="1"/>
    <col min="15" max="15" width="40" customWidth="1"/>
  </cols>
  <sheetData>
    <row r="2" spans="2:13" ht="18" x14ac:dyDescent="0.2">
      <c r="B2" s="21" t="s">
        <v>181</v>
      </c>
    </row>
    <row r="3" spans="2:13" x14ac:dyDescent="0.2">
      <c r="B3" s="73" t="s">
        <v>182</v>
      </c>
    </row>
    <row r="5" spans="2:13" x14ac:dyDescent="0.2">
      <c r="B5" s="4" t="s">
        <v>183</v>
      </c>
      <c r="C5" s="5"/>
      <c r="D5" s="5"/>
    </row>
    <row r="6" spans="2:13" x14ac:dyDescent="0.2">
      <c r="B6" s="12" t="s">
        <v>184</v>
      </c>
      <c r="C6" s="36">
        <f>(Inputs!$C$43+Inputs!$C$44*Inputs!$C$45)</f>
        <v>0.105</v>
      </c>
    </row>
    <row r="7" spans="2:13" x14ac:dyDescent="0.2">
      <c r="B7" s="6" t="s">
        <v>98</v>
      </c>
      <c r="C7" s="15">
        <f>Inputs!$C$46</f>
        <v>5.5E-2</v>
      </c>
    </row>
    <row r="9" spans="2:13" x14ac:dyDescent="0.2">
      <c r="B9" s="4" t="s">
        <v>185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2:13" x14ac:dyDescent="0.2">
      <c r="B10" s="35" t="s">
        <v>138</v>
      </c>
      <c r="C10" s="10" t="s">
        <v>186</v>
      </c>
      <c r="D10" s="10" t="s">
        <v>107</v>
      </c>
      <c r="E10" s="10" t="s">
        <v>108</v>
      </c>
      <c r="F10" s="10" t="s">
        <v>109</v>
      </c>
      <c r="G10" s="10" t="s">
        <v>110</v>
      </c>
      <c r="H10" s="10" t="s">
        <v>111</v>
      </c>
      <c r="I10" s="10" t="s">
        <v>187</v>
      </c>
      <c r="J10" s="10" t="s">
        <v>188</v>
      </c>
      <c r="K10" s="10" t="s">
        <v>189</v>
      </c>
      <c r="L10" s="10" t="s">
        <v>190</v>
      </c>
      <c r="M10" s="10" t="s">
        <v>191</v>
      </c>
    </row>
    <row r="11" spans="2:13" x14ac:dyDescent="0.2">
      <c r="B11" s="6" t="s">
        <v>192</v>
      </c>
      <c r="D11" s="15">
        <f>Inputs!D$54</f>
        <v>0.26</v>
      </c>
      <c r="E11" s="15">
        <f>Inputs!E$54</f>
        <v>0.25</v>
      </c>
      <c r="F11" s="15">
        <f>Inputs!F$54</f>
        <v>0.24</v>
      </c>
      <c r="G11" s="15">
        <f>Inputs!G$54</f>
        <v>0.22</v>
      </c>
      <c r="H11" s="15">
        <f>Inputs!H$54</f>
        <v>0.2</v>
      </c>
      <c r="I11" s="38">
        <f>H11+($C$7-$H11)/5</f>
        <v>0.17100000000000001</v>
      </c>
      <c r="J11" s="38">
        <f>I11+($C$7-$H11)/5</f>
        <v>0.14200000000000002</v>
      </c>
      <c r="K11" s="38">
        <f>J11+($C$7-$H11)/5</f>
        <v>0.11300000000000002</v>
      </c>
      <c r="L11" s="38">
        <f>K11+($C$7-$H11)/5</f>
        <v>8.4000000000000019E-2</v>
      </c>
      <c r="M11" s="38">
        <f>L11+($C$7-$H11)/5</f>
        <v>5.5000000000000014E-2</v>
      </c>
    </row>
    <row r="12" spans="2:13" x14ac:dyDescent="0.2">
      <c r="B12" s="12" t="s">
        <v>193</v>
      </c>
      <c r="C12" s="7">
        <f>Inputs!$C$9</f>
        <v>750</v>
      </c>
      <c r="D12" s="37">
        <f t="shared" ref="D12:M12" si="0">C12*(1+D11)</f>
        <v>945</v>
      </c>
      <c r="E12" s="37">
        <f t="shared" si="0"/>
        <v>1181.25</v>
      </c>
      <c r="F12" s="37">
        <f t="shared" si="0"/>
        <v>1464.75</v>
      </c>
      <c r="G12" s="37">
        <f t="shared" si="0"/>
        <v>1786.9949999999999</v>
      </c>
      <c r="H12" s="37">
        <f t="shared" si="0"/>
        <v>2144.3939999999998</v>
      </c>
      <c r="I12" s="37">
        <f t="shared" si="0"/>
        <v>2511.0853739999998</v>
      </c>
      <c r="J12" s="37">
        <f t="shared" si="0"/>
        <v>2867.6594971079994</v>
      </c>
      <c r="K12" s="37">
        <f t="shared" si="0"/>
        <v>3191.7050202812034</v>
      </c>
      <c r="L12" s="37">
        <f t="shared" si="0"/>
        <v>3459.8082419848247</v>
      </c>
      <c r="M12" s="37">
        <f t="shared" si="0"/>
        <v>3650.09769529399</v>
      </c>
    </row>
    <row r="13" spans="2:13" x14ac:dyDescent="0.2">
      <c r="B13" s="6" t="s">
        <v>194</v>
      </c>
      <c r="C13" s="15">
        <f>Inputs!$C$13</f>
        <v>0.2</v>
      </c>
      <c r="D13" s="15">
        <f>Inputs!D$55</f>
        <v>0.21</v>
      </c>
      <c r="E13" s="15">
        <f>Inputs!E$55</f>
        <v>0.215</v>
      </c>
      <c r="F13" s="15">
        <f>Inputs!F$55</f>
        <v>0.22</v>
      </c>
      <c r="G13" s="15">
        <f>Inputs!G$55</f>
        <v>0.22500000000000001</v>
      </c>
      <c r="H13" s="15">
        <f>Inputs!H$55</f>
        <v>0.23</v>
      </c>
      <c r="I13" s="38">
        <f>H13</f>
        <v>0.23</v>
      </c>
      <c r="J13" s="38">
        <f>I13</f>
        <v>0.23</v>
      </c>
      <c r="K13" s="38">
        <f>J13</f>
        <v>0.23</v>
      </c>
      <c r="L13" s="38">
        <f>K13</f>
        <v>0.23</v>
      </c>
      <c r="M13" s="38">
        <f>L13</f>
        <v>0.23</v>
      </c>
    </row>
    <row r="14" spans="2:13" x14ac:dyDescent="0.2">
      <c r="B14" s="6" t="s">
        <v>195</v>
      </c>
      <c r="C14" s="47">
        <f t="shared" ref="C14:M14" si="1">C12*C13</f>
        <v>150</v>
      </c>
      <c r="D14" s="47">
        <f t="shared" si="1"/>
        <v>198.45</v>
      </c>
      <c r="E14" s="47">
        <f t="shared" si="1"/>
        <v>253.96875</v>
      </c>
      <c r="F14" s="47">
        <f t="shared" si="1"/>
        <v>322.245</v>
      </c>
      <c r="G14" s="47">
        <f t="shared" si="1"/>
        <v>402.07387499999999</v>
      </c>
      <c r="H14" s="47">
        <f t="shared" si="1"/>
        <v>493.21061999999995</v>
      </c>
      <c r="I14" s="47">
        <f t="shared" si="1"/>
        <v>577.54963601999998</v>
      </c>
      <c r="J14" s="47">
        <f t="shared" si="1"/>
        <v>659.56168433483992</v>
      </c>
      <c r="K14" s="47">
        <f t="shared" si="1"/>
        <v>734.09215466467685</v>
      </c>
      <c r="L14" s="47">
        <f t="shared" si="1"/>
        <v>795.75589565650967</v>
      </c>
      <c r="M14" s="47">
        <f t="shared" si="1"/>
        <v>839.52246991761774</v>
      </c>
    </row>
    <row r="15" spans="2:13" x14ac:dyDescent="0.2">
      <c r="B15" s="6" t="s">
        <v>196</v>
      </c>
      <c r="C15" s="47">
        <f>-C12*Inputs!$C$47</f>
        <v>-15</v>
      </c>
      <c r="D15" s="47">
        <f>-D12*Inputs!$C$47</f>
        <v>-18.900000000000002</v>
      </c>
      <c r="E15" s="47">
        <f>-E12*Inputs!$C$47</f>
        <v>-23.625</v>
      </c>
      <c r="F15" s="47">
        <f>-F12*Inputs!$C$47</f>
        <v>-29.295000000000002</v>
      </c>
      <c r="G15" s="47">
        <f>-G12*Inputs!$C$47</f>
        <v>-35.739899999999999</v>
      </c>
      <c r="H15" s="47">
        <f>-H12*Inputs!$C$47</f>
        <v>-42.887879999999996</v>
      </c>
      <c r="I15" s="47">
        <f>-I12*Inputs!$C$47</f>
        <v>-50.221707479999999</v>
      </c>
      <c r="J15" s="47">
        <f>-J12*Inputs!$C$47</f>
        <v>-57.353189942159986</v>
      </c>
      <c r="K15" s="47">
        <f>-K12*Inputs!$C$47</f>
        <v>-63.834100405624071</v>
      </c>
      <c r="L15" s="47">
        <f>-L12*Inputs!$C$47</f>
        <v>-69.196164839696493</v>
      </c>
      <c r="M15" s="47">
        <f>-M12*Inputs!$C$47</f>
        <v>-73.001953905879802</v>
      </c>
    </row>
    <row r="16" spans="2:13" x14ac:dyDescent="0.2">
      <c r="B16" s="6" t="s">
        <v>197</v>
      </c>
      <c r="C16" s="47">
        <f t="shared" ref="C16:M16" si="2">C14+C15</f>
        <v>135</v>
      </c>
      <c r="D16" s="47">
        <f t="shared" si="2"/>
        <v>179.54999999999998</v>
      </c>
      <c r="E16" s="47">
        <f t="shared" si="2"/>
        <v>230.34375</v>
      </c>
      <c r="F16" s="47">
        <f t="shared" si="2"/>
        <v>292.95</v>
      </c>
      <c r="G16" s="47">
        <f t="shared" si="2"/>
        <v>366.33397500000001</v>
      </c>
      <c r="H16" s="47">
        <f t="shared" si="2"/>
        <v>450.32273999999995</v>
      </c>
      <c r="I16" s="47">
        <f t="shared" si="2"/>
        <v>527.32792854000002</v>
      </c>
      <c r="J16" s="47">
        <f t="shared" si="2"/>
        <v>602.20849439268</v>
      </c>
      <c r="K16" s="47">
        <f t="shared" si="2"/>
        <v>670.25805425905276</v>
      </c>
      <c r="L16" s="47">
        <f t="shared" si="2"/>
        <v>726.55973081681316</v>
      </c>
      <c r="M16" s="47">
        <f t="shared" si="2"/>
        <v>766.52051601173798</v>
      </c>
    </row>
    <row r="17" spans="2:13" x14ac:dyDescent="0.2">
      <c r="B17" s="6" t="s">
        <v>198</v>
      </c>
      <c r="C17" s="47">
        <f>C16*(1-Inputs!$C$30)</f>
        <v>101.25</v>
      </c>
      <c r="D17" s="47">
        <f>D16*(1-Inputs!$C$30)</f>
        <v>134.66249999999999</v>
      </c>
      <c r="E17" s="47">
        <f>E16*(1-Inputs!$C$30)</f>
        <v>172.7578125</v>
      </c>
      <c r="F17" s="47">
        <f>F16*(1-Inputs!$C$30)</f>
        <v>219.71249999999998</v>
      </c>
      <c r="G17" s="47">
        <f>G16*(1-Inputs!$C$30)</f>
        <v>274.75048125000001</v>
      </c>
      <c r="H17" s="47">
        <f>H16*(1-Inputs!$C$30)</f>
        <v>337.74205499999994</v>
      </c>
      <c r="I17" s="47">
        <f>I16*(1-Inputs!$C$30)</f>
        <v>395.49594640500004</v>
      </c>
      <c r="J17" s="47">
        <f>J16*(1-Inputs!$C$30)</f>
        <v>451.65637079451</v>
      </c>
      <c r="K17" s="47">
        <f>K16*(1-Inputs!$C$30)</f>
        <v>502.6935406942896</v>
      </c>
      <c r="L17" s="47">
        <f>L16*(1-Inputs!$C$30)</f>
        <v>544.9197981126099</v>
      </c>
      <c r="M17" s="47">
        <f>M16*(1-Inputs!$C$30)</f>
        <v>574.89038700880349</v>
      </c>
    </row>
    <row r="18" spans="2:13" x14ac:dyDescent="0.2">
      <c r="B18" s="12" t="s">
        <v>199</v>
      </c>
      <c r="D18" s="13">
        <f>D17-D15-D12*Inputs!$C$48-(D12-C12)*Inputs!$C$49</f>
        <v>101.8125</v>
      </c>
      <c r="E18" s="13">
        <f>E17-E15-E12*Inputs!$C$48-(E12-D12)*Inputs!$C$49</f>
        <v>132.59531250000001</v>
      </c>
      <c r="F18" s="13">
        <f>F17-F15-F12*Inputs!$C$48-(F12-E12)*Inputs!$C$49</f>
        <v>171.04500000000002</v>
      </c>
      <c r="G18" s="13">
        <f>G17-G15-G12*Inputs!$C$48-(G12-F12)*Inputs!$C$49</f>
        <v>218.21113124999999</v>
      </c>
      <c r="H18" s="13">
        <f>H17-H15-H12*Inputs!$C$48-(H12-G12)*Inputs!$C$49</f>
        <v>273.41023499999994</v>
      </c>
      <c r="I18" s="13">
        <f>I17-I15-I12*Inputs!$C$48-(I12-H12)*Inputs!$C$49</f>
        <v>326.38212778500008</v>
      </c>
      <c r="J18" s="13">
        <f>J17-J15-J12*Inputs!$C$48-(J12-I12)*Inputs!$C$49</f>
        <v>380.19088105047007</v>
      </c>
      <c r="K18" s="13">
        <f>K17-K15-K12*Inputs!$C$48-(K12-J12)*Inputs!$C$49</f>
        <v>431.89102771069315</v>
      </c>
      <c r="L18" s="13">
        <f>L17-L15-L12*Inputs!$C$48-(L12-K12)*Inputs!$C$49</f>
        <v>478.14932908832714</v>
      </c>
      <c r="M18" s="13">
        <f>M17-M15-M12*Inputs!$C$48-(M12-L12)*Inputs!$C$49</f>
        <v>515.5546756587637</v>
      </c>
    </row>
    <row r="19" spans="2:13" x14ac:dyDescent="0.2">
      <c r="B19" s="6" t="s">
        <v>200</v>
      </c>
      <c r="D19" s="47">
        <f>D18/(1+$C$6)^1</f>
        <v>92.138009049773757</v>
      </c>
      <c r="E19" s="47">
        <f>E18/(1+$C$6)^2</f>
        <v>108.5934460801376</v>
      </c>
      <c r="F19" s="47">
        <f>F18/(1+$C$6)^3</f>
        <v>126.77206052588598</v>
      </c>
      <c r="G19" s="47">
        <f>G18/(1+$C$6)^4</f>
        <v>146.3618157601459</v>
      </c>
      <c r="H19" s="47">
        <f>H18/(1+$C$6)^5</f>
        <v>165.95998162277118</v>
      </c>
      <c r="I19" s="47">
        <f>I18/(1+$C$6)^6</f>
        <v>179.28861043697873</v>
      </c>
      <c r="J19" s="47">
        <f>J18/(1+$C$6)^7</f>
        <v>189.00171713080684</v>
      </c>
      <c r="K19" s="47">
        <f>K18/(1+$C$6)^8</f>
        <v>194.30141249089019</v>
      </c>
      <c r="L19" s="47">
        <f>L18/(1+$C$6)^9</f>
        <v>194.67180180092444</v>
      </c>
      <c r="M19" s="47">
        <f>M18/(1+$C$6)^10</f>
        <v>189.95553367654841</v>
      </c>
    </row>
    <row r="20" spans="2:13" x14ac:dyDescent="0.2">
      <c r="B20" s="6" t="s">
        <v>201</v>
      </c>
      <c r="C20" s="47">
        <f>SUM(D19:M19)</f>
        <v>1587.044388574863</v>
      </c>
    </row>
    <row r="21" spans="2:13" x14ac:dyDescent="0.2">
      <c r="B21" s="6" t="s">
        <v>202</v>
      </c>
      <c r="C21" s="47">
        <f>M18*(1+$C$7)/($C$6-$C$7)/(1+$C$6)^10</f>
        <v>4008.0617605751722</v>
      </c>
    </row>
    <row r="22" spans="2:13" x14ac:dyDescent="0.2">
      <c r="B22" s="12" t="s">
        <v>203</v>
      </c>
      <c r="C22" s="48">
        <f>C20+C21</f>
        <v>5595.106149150035</v>
      </c>
    </row>
    <row r="23" spans="2:13" x14ac:dyDescent="0.2">
      <c r="B23" s="6" t="s">
        <v>204</v>
      </c>
      <c r="C23" s="49">
        <f>C22/Inputs!$C$9</f>
        <v>7.4601415322000468</v>
      </c>
    </row>
    <row r="24" spans="2:13" x14ac:dyDescent="0.2">
      <c r="B24" s="6" t="s">
        <v>205</v>
      </c>
      <c r="C24" s="11">
        <f>C22-Inputs!$C$6</f>
        <v>495.10614915003498</v>
      </c>
    </row>
    <row r="25" spans="2:13" x14ac:dyDescent="0.2">
      <c r="B25" s="6" t="s">
        <v>206</v>
      </c>
      <c r="C25" s="15">
        <f>Inputs!$C$11/D12-1</f>
        <v>-0.15449735449735447</v>
      </c>
    </row>
    <row r="27" spans="2:13" x14ac:dyDescent="0.2">
      <c r="B27" s="4" t="s">
        <v>207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2:13" x14ac:dyDescent="0.2">
      <c r="B28" s="35" t="s">
        <v>138</v>
      </c>
      <c r="C28" s="10" t="s">
        <v>186</v>
      </c>
      <c r="D28" s="10" t="s">
        <v>107</v>
      </c>
      <c r="E28" s="10" t="s">
        <v>108</v>
      </c>
      <c r="F28" s="10" t="s">
        <v>109</v>
      </c>
      <c r="G28" s="10" t="s">
        <v>110</v>
      </c>
      <c r="H28" s="10" t="s">
        <v>111</v>
      </c>
      <c r="I28" s="10" t="s">
        <v>187</v>
      </c>
      <c r="J28" s="10" t="s">
        <v>188</v>
      </c>
      <c r="K28" s="10" t="s">
        <v>189</v>
      </c>
      <c r="L28" s="10" t="s">
        <v>190</v>
      </c>
      <c r="M28" s="10" t="s">
        <v>191</v>
      </c>
    </row>
    <row r="29" spans="2:13" x14ac:dyDescent="0.2">
      <c r="B29" s="6" t="s">
        <v>192</v>
      </c>
      <c r="D29" s="15">
        <f>Inputs!D$56</f>
        <v>0.14000000000000001</v>
      </c>
      <c r="E29" s="15">
        <f>Inputs!E$56</f>
        <v>0.14000000000000001</v>
      </c>
      <c r="F29" s="15">
        <f>Inputs!F$56</f>
        <v>0.14000000000000001</v>
      </c>
      <c r="G29" s="15">
        <f>Inputs!G$56</f>
        <v>0.14000000000000001</v>
      </c>
      <c r="H29" s="15">
        <f>Inputs!H$56</f>
        <v>0.14000000000000001</v>
      </c>
      <c r="I29" s="38">
        <f>H29+($C$7-$H29)/5</f>
        <v>0.12300000000000001</v>
      </c>
      <c r="J29" s="38">
        <f>I29+($C$7-$H29)/5</f>
        <v>0.10600000000000001</v>
      </c>
      <c r="K29" s="38">
        <f>J29+($C$7-$H29)/5</f>
        <v>8.900000000000001E-2</v>
      </c>
      <c r="L29" s="38">
        <f>K29+($C$7-$H29)/5</f>
        <v>7.2000000000000008E-2</v>
      </c>
      <c r="M29" s="38">
        <f>L29+($C$7-$H29)/5</f>
        <v>5.5000000000000007E-2</v>
      </c>
    </row>
    <row r="30" spans="2:13" x14ac:dyDescent="0.2">
      <c r="B30" s="12" t="s">
        <v>193</v>
      </c>
      <c r="C30" s="7">
        <f>Inputs!$C$9</f>
        <v>750</v>
      </c>
      <c r="D30" s="37">
        <f t="shared" ref="D30:M30" si="3">C30*(1+D29)</f>
        <v>855.00000000000011</v>
      </c>
      <c r="E30" s="37">
        <f t="shared" si="3"/>
        <v>974.70000000000027</v>
      </c>
      <c r="F30" s="37">
        <f t="shared" si="3"/>
        <v>1111.1580000000004</v>
      </c>
      <c r="G30" s="37">
        <f t="shared" si="3"/>
        <v>1266.7201200000006</v>
      </c>
      <c r="H30" s="37">
        <f t="shared" si="3"/>
        <v>1444.0609368000009</v>
      </c>
      <c r="I30" s="37">
        <f t="shared" si="3"/>
        <v>1621.6804320264011</v>
      </c>
      <c r="J30" s="37">
        <f t="shared" si="3"/>
        <v>1793.5785578211999</v>
      </c>
      <c r="K30" s="37">
        <f t="shared" si="3"/>
        <v>1953.2070494672867</v>
      </c>
      <c r="L30" s="37">
        <f t="shared" si="3"/>
        <v>2093.8379570289312</v>
      </c>
      <c r="M30" s="37">
        <f t="shared" si="3"/>
        <v>2208.9990446655224</v>
      </c>
    </row>
    <row r="31" spans="2:13" x14ac:dyDescent="0.2">
      <c r="B31" s="6" t="s">
        <v>194</v>
      </c>
      <c r="C31" s="15">
        <f>Inputs!$C$13</f>
        <v>0.2</v>
      </c>
      <c r="D31" s="15">
        <f>Inputs!D$57</f>
        <v>0.2</v>
      </c>
      <c r="E31" s="15">
        <f>Inputs!E$57</f>
        <v>0.20250000000000001</v>
      </c>
      <c r="F31" s="15">
        <f>Inputs!F$57</f>
        <v>0.20499999999999999</v>
      </c>
      <c r="G31" s="15">
        <f>Inputs!G$57</f>
        <v>0.20749999999999999</v>
      </c>
      <c r="H31" s="15">
        <f>Inputs!H$57</f>
        <v>0.21</v>
      </c>
      <c r="I31" s="38">
        <f>H31</f>
        <v>0.21</v>
      </c>
      <c r="J31" s="38">
        <f>I31</f>
        <v>0.21</v>
      </c>
      <c r="K31" s="38">
        <f>J31</f>
        <v>0.21</v>
      </c>
      <c r="L31" s="38">
        <f>K31</f>
        <v>0.21</v>
      </c>
      <c r="M31" s="38">
        <f>L31</f>
        <v>0.21</v>
      </c>
    </row>
    <row r="32" spans="2:13" x14ac:dyDescent="0.2">
      <c r="B32" s="6" t="s">
        <v>195</v>
      </c>
      <c r="C32" s="47">
        <f t="shared" ref="C32:M32" si="4">C30*C31</f>
        <v>150</v>
      </c>
      <c r="D32" s="47">
        <f t="shared" si="4"/>
        <v>171.00000000000003</v>
      </c>
      <c r="E32" s="47">
        <f t="shared" si="4"/>
        <v>197.37675000000007</v>
      </c>
      <c r="F32" s="47">
        <f t="shared" si="4"/>
        <v>227.78739000000007</v>
      </c>
      <c r="G32" s="47">
        <f t="shared" si="4"/>
        <v>262.84442490000009</v>
      </c>
      <c r="H32" s="47">
        <f t="shared" si="4"/>
        <v>303.25279672800019</v>
      </c>
      <c r="I32" s="47">
        <f t="shared" si="4"/>
        <v>340.55289072554422</v>
      </c>
      <c r="J32" s="47">
        <f t="shared" si="4"/>
        <v>376.65149714245194</v>
      </c>
      <c r="K32" s="47">
        <f t="shared" si="4"/>
        <v>410.1734803881302</v>
      </c>
      <c r="L32" s="47">
        <f t="shared" si="4"/>
        <v>439.70597097607555</v>
      </c>
      <c r="M32" s="47">
        <f t="shared" si="4"/>
        <v>463.88979937975967</v>
      </c>
    </row>
    <row r="33" spans="2:13" x14ac:dyDescent="0.2">
      <c r="B33" s="6" t="s">
        <v>196</v>
      </c>
      <c r="C33" s="47">
        <f>-C30*Inputs!$C$47</f>
        <v>-15</v>
      </c>
      <c r="D33" s="47">
        <f>-D30*Inputs!$C$47</f>
        <v>-17.100000000000001</v>
      </c>
      <c r="E33" s="47">
        <f>-E30*Inputs!$C$47</f>
        <v>-19.494000000000007</v>
      </c>
      <c r="F33" s="47">
        <f>-F30*Inputs!$C$47</f>
        <v>-22.223160000000007</v>
      </c>
      <c r="G33" s="47">
        <f>-G30*Inputs!$C$47</f>
        <v>-25.334402400000013</v>
      </c>
      <c r="H33" s="47">
        <f>-H30*Inputs!$C$47</f>
        <v>-28.881218736000019</v>
      </c>
      <c r="I33" s="47">
        <f>-I30*Inputs!$C$47</f>
        <v>-32.433608640528021</v>
      </c>
      <c r="J33" s="47">
        <f>-J30*Inputs!$C$47</f>
        <v>-35.871571156423997</v>
      </c>
      <c r="K33" s="47">
        <f>-K30*Inputs!$C$47</f>
        <v>-39.064140989345731</v>
      </c>
      <c r="L33" s="47">
        <f>-L30*Inputs!$C$47</f>
        <v>-41.876759140578628</v>
      </c>
      <c r="M33" s="47">
        <f>-M30*Inputs!$C$47</f>
        <v>-44.17998089331045</v>
      </c>
    </row>
    <row r="34" spans="2:13" x14ac:dyDescent="0.2">
      <c r="B34" s="6" t="s">
        <v>197</v>
      </c>
      <c r="C34" s="47">
        <f t="shared" ref="C34:M34" si="5">C32+C33</f>
        <v>135</v>
      </c>
      <c r="D34" s="47">
        <f t="shared" si="5"/>
        <v>153.90000000000003</v>
      </c>
      <c r="E34" s="47">
        <f t="shared" si="5"/>
        <v>177.88275000000007</v>
      </c>
      <c r="F34" s="47">
        <f t="shared" si="5"/>
        <v>205.56423000000007</v>
      </c>
      <c r="G34" s="47">
        <f t="shared" si="5"/>
        <v>237.51002250000008</v>
      </c>
      <c r="H34" s="47">
        <f t="shared" si="5"/>
        <v>274.3715779920002</v>
      </c>
      <c r="I34" s="47">
        <f t="shared" si="5"/>
        <v>308.11928208501621</v>
      </c>
      <c r="J34" s="47">
        <f t="shared" si="5"/>
        <v>340.77992598602793</v>
      </c>
      <c r="K34" s="47">
        <f t="shared" si="5"/>
        <v>371.10933939878447</v>
      </c>
      <c r="L34" s="47">
        <f t="shared" si="5"/>
        <v>397.82921183549695</v>
      </c>
      <c r="M34" s="47">
        <f t="shared" si="5"/>
        <v>419.70981848644919</v>
      </c>
    </row>
    <row r="35" spans="2:13" x14ac:dyDescent="0.2">
      <c r="B35" s="6" t="s">
        <v>198</v>
      </c>
      <c r="C35" s="47">
        <f>C34*(1-Inputs!$C$30)</f>
        <v>101.25</v>
      </c>
      <c r="D35" s="47">
        <f>D34*(1-Inputs!$C$30)</f>
        <v>115.42500000000003</v>
      </c>
      <c r="E35" s="47">
        <f>E34*(1-Inputs!$C$30)</f>
        <v>133.41206250000005</v>
      </c>
      <c r="F35" s="47">
        <f>F34*(1-Inputs!$C$30)</f>
        <v>154.17317250000005</v>
      </c>
      <c r="G35" s="47">
        <f>G34*(1-Inputs!$C$30)</f>
        <v>178.13251687500005</v>
      </c>
      <c r="H35" s="47">
        <f>H34*(1-Inputs!$C$30)</f>
        <v>205.77868349400015</v>
      </c>
      <c r="I35" s="47">
        <f>I34*(1-Inputs!$C$30)</f>
        <v>231.08946156376214</v>
      </c>
      <c r="J35" s="47">
        <f>J34*(1-Inputs!$C$30)</f>
        <v>255.58494448952095</v>
      </c>
      <c r="K35" s="47">
        <f>K34*(1-Inputs!$C$30)</f>
        <v>278.33200454908837</v>
      </c>
      <c r="L35" s="47">
        <f>L34*(1-Inputs!$C$30)</f>
        <v>298.37190887662268</v>
      </c>
      <c r="M35" s="47">
        <f>M34*(1-Inputs!$C$30)</f>
        <v>314.7823638648369</v>
      </c>
    </row>
    <row r="36" spans="2:13" x14ac:dyDescent="0.2">
      <c r="B36" s="12" t="s">
        <v>199</v>
      </c>
      <c r="D36" s="13">
        <f>D35-D33-D30*Inputs!$C$48-(D30-C30)*Inputs!$C$49</f>
        <v>94.27500000000002</v>
      </c>
      <c r="E36" s="13">
        <f>E35-E33-E30*Inputs!$C$48-(E30-D30)*Inputs!$C$49</f>
        <v>109.30106250000001</v>
      </c>
      <c r="F36" s="13">
        <f>F35-F33-F30*Inputs!$C$48-(F30-E30)*Inputs!$C$49</f>
        <v>126.68663250000003</v>
      </c>
      <c r="G36" s="13">
        <f>G35-G33-G30*Inputs!$C$48-(G30-F30)*Inputs!$C$49</f>
        <v>146.79786127500003</v>
      </c>
      <c r="H36" s="13">
        <f>H35-H33-H30*Inputs!$C$48-(H30-G30)*Inputs!$C$49</f>
        <v>170.05717611000011</v>
      </c>
      <c r="I36" s="13">
        <f>I35-I33-I30*Inputs!$C$48-(I30-H30)*Inputs!$C$49</f>
        <v>193.55831781633009</v>
      </c>
      <c r="J36" s="13">
        <f>J35-J33-J30*Inputs!$C$48-(J30-I30)*Inputs!$C$49</f>
        <v>217.02138381593309</v>
      </c>
      <c r="K36" s="13">
        <f>K35-K33-K30*Inputs!$C$48-(K30-J30)*Inputs!$C$49</f>
        <v>239.64451505688513</v>
      </c>
      <c r="L36" s="13">
        <f>L35-L33-L30*Inputs!$C$48-(L30-K30)*Inputs!$C$49</f>
        <v>260.55782039893609</v>
      </c>
      <c r="M36" s="13">
        <f>M35-M33-M30*Inputs!$C$48-(M30-L30)*Inputs!$C$49</f>
        <v>278.87304290179077</v>
      </c>
    </row>
    <row r="37" spans="2:13" x14ac:dyDescent="0.2">
      <c r="B37" s="6" t="s">
        <v>200</v>
      </c>
      <c r="D37" s="47">
        <f>D36/(1+$C$6)^1</f>
        <v>85.316742081447984</v>
      </c>
      <c r="E37" s="47">
        <f>E36/(1+$C$6)^2</f>
        <v>89.515826866771775</v>
      </c>
      <c r="F37" s="47">
        <f>F36/(1+$C$6)^3</f>
        <v>93.895322535652468</v>
      </c>
      <c r="G37" s="47">
        <f>G36/(1+$C$6)^4</f>
        <v>98.462445077100128</v>
      </c>
      <c r="H37" s="47">
        <f>H36/(1+$C$6)^5</f>
        <v>103.22468660339649</v>
      </c>
      <c r="I37" s="47">
        <f>I36/(1+$C$6)^6</f>
        <v>106.32568050009446</v>
      </c>
      <c r="J37" s="47">
        <f>J36/(1+$C$6)^7</f>
        <v>107.88637034634773</v>
      </c>
      <c r="K37" s="47">
        <f>K36/(1+$C$6)^8</f>
        <v>107.81253784794549</v>
      </c>
      <c r="L37" s="47">
        <f>L36/(1+$C$6)^9</f>
        <v>106.0824668876877</v>
      </c>
      <c r="M37" s="47">
        <f>M36/(1+$C$6)^10</f>
        <v>102.7504553706634</v>
      </c>
    </row>
    <row r="38" spans="2:13" x14ac:dyDescent="0.2">
      <c r="B38" s="6" t="s">
        <v>201</v>
      </c>
      <c r="C38" s="47">
        <f>SUM(D37:M37)</f>
        <v>1001.2725341171076</v>
      </c>
    </row>
    <row r="39" spans="2:13" x14ac:dyDescent="0.2">
      <c r="B39" s="6" t="s">
        <v>202</v>
      </c>
      <c r="C39" s="47">
        <f>M36*(1+$C$7)/($C$6-$C$7)/(1+$C$6)^10</f>
        <v>2168.0346083209979</v>
      </c>
    </row>
    <row r="40" spans="2:13" x14ac:dyDescent="0.2">
      <c r="B40" s="12" t="s">
        <v>203</v>
      </c>
      <c r="C40" s="48">
        <f>C38+C39</f>
        <v>3169.3071424381055</v>
      </c>
    </row>
    <row r="41" spans="2:13" x14ac:dyDescent="0.2">
      <c r="B41" s="6" t="s">
        <v>204</v>
      </c>
      <c r="C41" s="49">
        <f>C40/Inputs!$C$9</f>
        <v>4.2257428565841408</v>
      </c>
    </row>
    <row r="42" spans="2:13" x14ac:dyDescent="0.2">
      <c r="B42" s="6" t="s">
        <v>205</v>
      </c>
      <c r="C42" s="11">
        <f>C40-Inputs!$C$6</f>
        <v>-1930.6928575618945</v>
      </c>
    </row>
    <row r="43" spans="2:13" x14ac:dyDescent="0.2">
      <c r="B43" s="6" t="s">
        <v>206</v>
      </c>
      <c r="C43" s="15">
        <f>Inputs!$C$11/D30-1</f>
        <v>-6.5497076023391942E-2</v>
      </c>
    </row>
    <row r="45" spans="2:13" x14ac:dyDescent="0.2">
      <c r="B45" s="4" t="s">
        <v>208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2:13" x14ac:dyDescent="0.2">
      <c r="B46" s="35" t="s">
        <v>138</v>
      </c>
      <c r="C46" s="10" t="s">
        <v>186</v>
      </c>
      <c r="D46" s="10" t="s">
        <v>107</v>
      </c>
      <c r="E46" s="10" t="s">
        <v>108</v>
      </c>
      <c r="F46" s="10" t="s">
        <v>109</v>
      </c>
      <c r="G46" s="10" t="s">
        <v>110</v>
      </c>
      <c r="H46" s="10" t="s">
        <v>111</v>
      </c>
      <c r="I46" s="10" t="s">
        <v>187</v>
      </c>
      <c r="J46" s="10" t="s">
        <v>188</v>
      </c>
      <c r="K46" s="10" t="s">
        <v>189</v>
      </c>
      <c r="L46" s="10" t="s">
        <v>190</v>
      </c>
      <c r="M46" s="10" t="s">
        <v>191</v>
      </c>
    </row>
    <row r="47" spans="2:13" x14ac:dyDescent="0.2">
      <c r="B47" s="6" t="s">
        <v>192</v>
      </c>
      <c r="D47" s="15">
        <f>Inputs!D$58</f>
        <v>6.5000000000000002E-2</v>
      </c>
      <c r="E47" s="15">
        <f>Inputs!E$58</f>
        <v>0.08</v>
      </c>
      <c r="F47" s="15">
        <f>Inputs!F$58</f>
        <v>0.09</v>
      </c>
      <c r="G47" s="15">
        <f>Inputs!G$58</f>
        <v>0.1</v>
      </c>
      <c r="H47" s="15">
        <f>Inputs!H$58</f>
        <v>0.1</v>
      </c>
      <c r="I47" s="38">
        <f>H47+($C$7-$H47)/5</f>
        <v>9.0999999999999998E-2</v>
      </c>
      <c r="J47" s="38">
        <f>I47+($C$7-$H47)/5</f>
        <v>8.199999999999999E-2</v>
      </c>
      <c r="K47" s="38">
        <f>J47+($C$7-$H47)/5</f>
        <v>7.2999999999999982E-2</v>
      </c>
      <c r="L47" s="38">
        <f>K47+($C$7-$H47)/5</f>
        <v>6.3999999999999974E-2</v>
      </c>
      <c r="M47" s="38">
        <f>L47+($C$7-$H47)/5</f>
        <v>5.4999999999999973E-2</v>
      </c>
    </row>
    <row r="48" spans="2:13" x14ac:dyDescent="0.2">
      <c r="B48" s="12" t="s">
        <v>193</v>
      </c>
      <c r="C48" s="7">
        <f>Inputs!$C$9</f>
        <v>750</v>
      </c>
      <c r="D48" s="37">
        <f t="shared" ref="D48:M48" si="6">C48*(1+D47)</f>
        <v>798.75</v>
      </c>
      <c r="E48" s="37">
        <f t="shared" si="6"/>
        <v>862.65000000000009</v>
      </c>
      <c r="F48" s="37">
        <f t="shared" si="6"/>
        <v>940.28850000000011</v>
      </c>
      <c r="G48" s="37">
        <f t="shared" si="6"/>
        <v>1034.3173500000003</v>
      </c>
      <c r="H48" s="37">
        <f t="shared" si="6"/>
        <v>1137.7490850000004</v>
      </c>
      <c r="I48" s="37">
        <f t="shared" si="6"/>
        <v>1241.2842517350005</v>
      </c>
      <c r="J48" s="37">
        <f t="shared" si="6"/>
        <v>1343.0695603772706</v>
      </c>
      <c r="K48" s="37">
        <f t="shared" si="6"/>
        <v>1441.1136382848113</v>
      </c>
      <c r="L48" s="37">
        <f t="shared" si="6"/>
        <v>1533.3449111350392</v>
      </c>
      <c r="M48" s="37">
        <f t="shared" si="6"/>
        <v>1617.6788812474663</v>
      </c>
    </row>
    <row r="49" spans="2:13" x14ac:dyDescent="0.2">
      <c r="B49" s="6" t="s">
        <v>194</v>
      </c>
      <c r="C49" s="15">
        <f>Inputs!$C$13</f>
        <v>0.2</v>
      </c>
      <c r="D49" s="15">
        <f>Inputs!D$59</f>
        <v>0.2</v>
      </c>
      <c r="E49" s="15">
        <f>Inputs!E$59</f>
        <v>0.2</v>
      </c>
      <c r="F49" s="15">
        <f>Inputs!F$59</f>
        <v>0.2</v>
      </c>
      <c r="G49" s="15">
        <f>Inputs!G$59</f>
        <v>0.2</v>
      </c>
      <c r="H49" s="15">
        <f>Inputs!H$59</f>
        <v>0.2</v>
      </c>
      <c r="I49" s="38">
        <f>H49</f>
        <v>0.2</v>
      </c>
      <c r="J49" s="38">
        <f>I49</f>
        <v>0.2</v>
      </c>
      <c r="K49" s="38">
        <f>J49</f>
        <v>0.2</v>
      </c>
      <c r="L49" s="38">
        <f>K49</f>
        <v>0.2</v>
      </c>
      <c r="M49" s="38">
        <f>L49</f>
        <v>0.2</v>
      </c>
    </row>
    <row r="50" spans="2:13" x14ac:dyDescent="0.2">
      <c r="B50" s="6" t="s">
        <v>195</v>
      </c>
      <c r="C50" s="47">
        <f t="shared" ref="C50:M50" si="7">C48*C49</f>
        <v>150</v>
      </c>
      <c r="D50" s="47">
        <f t="shared" si="7"/>
        <v>159.75</v>
      </c>
      <c r="E50" s="47">
        <f t="shared" si="7"/>
        <v>172.53000000000003</v>
      </c>
      <c r="F50" s="47">
        <f t="shared" si="7"/>
        <v>188.05770000000004</v>
      </c>
      <c r="G50" s="47">
        <f t="shared" si="7"/>
        <v>206.86347000000006</v>
      </c>
      <c r="H50" s="47">
        <f t="shared" si="7"/>
        <v>227.54981700000008</v>
      </c>
      <c r="I50" s="47">
        <f t="shared" si="7"/>
        <v>248.2568503470001</v>
      </c>
      <c r="J50" s="47">
        <f t="shared" si="7"/>
        <v>268.61391207545415</v>
      </c>
      <c r="K50" s="47">
        <f t="shared" si="7"/>
        <v>288.22272765696226</v>
      </c>
      <c r="L50" s="47">
        <f t="shared" si="7"/>
        <v>306.66898222700786</v>
      </c>
      <c r="M50" s="47">
        <f t="shared" si="7"/>
        <v>323.53577624949327</v>
      </c>
    </row>
    <row r="51" spans="2:13" x14ac:dyDescent="0.2">
      <c r="B51" s="6" t="s">
        <v>196</v>
      </c>
      <c r="C51" s="47">
        <f>-C48*Inputs!$C$47</f>
        <v>-15</v>
      </c>
      <c r="D51" s="47">
        <f>-D48*Inputs!$C$47</f>
        <v>-15.975</v>
      </c>
      <c r="E51" s="47">
        <f>-E48*Inputs!$C$47</f>
        <v>-17.253000000000004</v>
      </c>
      <c r="F51" s="47">
        <f>-F48*Inputs!$C$47</f>
        <v>-18.805770000000003</v>
      </c>
      <c r="G51" s="47">
        <f>-G48*Inputs!$C$47</f>
        <v>-20.686347000000005</v>
      </c>
      <c r="H51" s="47">
        <f>-H48*Inputs!$C$47</f>
        <v>-22.754981700000009</v>
      </c>
      <c r="I51" s="47">
        <f>-I48*Inputs!$C$47</f>
        <v>-24.825685034700008</v>
      </c>
      <c r="J51" s="47">
        <f>-J48*Inputs!$C$47</f>
        <v>-26.861391207545413</v>
      </c>
      <c r="K51" s="47">
        <f>-K48*Inputs!$C$47</f>
        <v>-28.822272765696226</v>
      </c>
      <c r="L51" s="47">
        <f>-L48*Inputs!$C$47</f>
        <v>-30.666898222700784</v>
      </c>
      <c r="M51" s="47">
        <f>-M48*Inputs!$C$47</f>
        <v>-32.353577624949324</v>
      </c>
    </row>
    <row r="52" spans="2:13" x14ac:dyDescent="0.2">
      <c r="B52" s="6" t="s">
        <v>197</v>
      </c>
      <c r="C52" s="47">
        <f t="shared" ref="C52:M52" si="8">C50+C51</f>
        <v>135</v>
      </c>
      <c r="D52" s="47">
        <f t="shared" si="8"/>
        <v>143.77500000000001</v>
      </c>
      <c r="E52" s="47">
        <f t="shared" si="8"/>
        <v>155.27700000000002</v>
      </c>
      <c r="F52" s="47">
        <f t="shared" si="8"/>
        <v>169.25193000000004</v>
      </c>
      <c r="G52" s="47">
        <f t="shared" si="8"/>
        <v>186.17712300000005</v>
      </c>
      <c r="H52" s="47">
        <f t="shared" si="8"/>
        <v>204.79483530000007</v>
      </c>
      <c r="I52" s="47">
        <f t="shared" si="8"/>
        <v>223.4311653123001</v>
      </c>
      <c r="J52" s="47">
        <f t="shared" si="8"/>
        <v>241.75252086790874</v>
      </c>
      <c r="K52" s="47">
        <f t="shared" si="8"/>
        <v>259.40045489126601</v>
      </c>
      <c r="L52" s="47">
        <f t="shared" si="8"/>
        <v>276.00208400430705</v>
      </c>
      <c r="M52" s="47">
        <f t="shared" si="8"/>
        <v>291.18219862454396</v>
      </c>
    </row>
    <row r="53" spans="2:13" x14ac:dyDescent="0.2">
      <c r="B53" s="6" t="s">
        <v>198</v>
      </c>
      <c r="C53" s="47">
        <f>C52*(1-Inputs!$C$30)</f>
        <v>101.25</v>
      </c>
      <c r="D53" s="47">
        <f>D52*(1-Inputs!$C$30)</f>
        <v>107.83125000000001</v>
      </c>
      <c r="E53" s="47">
        <f>E52*(1-Inputs!$C$30)</f>
        <v>116.45775</v>
      </c>
      <c r="F53" s="47">
        <f>F52*(1-Inputs!$C$30)</f>
        <v>126.93894750000004</v>
      </c>
      <c r="G53" s="47">
        <f>G52*(1-Inputs!$C$30)</f>
        <v>139.63284225000004</v>
      </c>
      <c r="H53" s="47">
        <f>H52*(1-Inputs!$C$30)</f>
        <v>153.59612647500006</v>
      </c>
      <c r="I53" s="47">
        <f>I52*(1-Inputs!$C$30)</f>
        <v>167.57337398422507</v>
      </c>
      <c r="J53" s="47">
        <f>J52*(1-Inputs!$C$30)</f>
        <v>181.31439065093156</v>
      </c>
      <c r="K53" s="47">
        <f>K52*(1-Inputs!$C$30)</f>
        <v>194.55034116844951</v>
      </c>
      <c r="L53" s="47">
        <f>L52*(1-Inputs!$C$30)</f>
        <v>207.00156300323027</v>
      </c>
      <c r="M53" s="47">
        <f>M52*(1-Inputs!$C$30)</f>
        <v>218.38664896840797</v>
      </c>
    </row>
    <row r="54" spans="2:13" x14ac:dyDescent="0.2">
      <c r="B54" s="12" t="s">
        <v>199</v>
      </c>
      <c r="D54" s="13">
        <f>D53-D51-D48*Inputs!$C$48-(D48-C48)*Inputs!$C$49</f>
        <v>93.993750000000006</v>
      </c>
      <c r="E54" s="13">
        <f>E53-E51-E48*Inputs!$C$48-(E48-D48)*Inputs!$C$49</f>
        <v>100.16325000000001</v>
      </c>
      <c r="F54" s="13">
        <f>F53-F51-F48*Inputs!$C$48-(F48-E48)*Inputs!$C$49</f>
        <v>108.21944250000003</v>
      </c>
      <c r="G54" s="13">
        <f>G53-G51-G48*Inputs!$C$48-(G48-F48)*Inputs!$C$49</f>
        <v>118.00620675000002</v>
      </c>
      <c r="H54" s="13">
        <f>H53-H51-H48*Inputs!$C$48-(H48-G48)*Inputs!$C$49</f>
        <v>129.80682742500002</v>
      </c>
      <c r="I54" s="13">
        <f>I53-I51-I48*Inputs!$C$48-(I48-H48)*Inputs!$C$49</f>
        <v>142.73631145867506</v>
      </c>
      <c r="J54" s="13">
        <f>J53-J51-J48*Inputs!$C$48-(J48-I48)*Inputs!$C$49</f>
        <v>155.66945801008643</v>
      </c>
      <c r="K54" s="13">
        <f>K53-K51-K48*Inputs!$C$48-(K48-J48)*Inputs!$C$49</f>
        <v>168.37391543669654</v>
      </c>
      <c r="L54" s="13">
        <f>L53-L51-L48*Inputs!$C$48-(L48-K48)*Inputs!$C$49</f>
        <v>180.60036114985255</v>
      </c>
      <c r="M54" s="13">
        <f>M53-M51-M48*Inputs!$C$48-(M48-L48)*Inputs!$C$49</f>
        <v>192.08978374244205</v>
      </c>
    </row>
    <row r="55" spans="2:13" x14ac:dyDescent="0.2">
      <c r="B55" s="6" t="s">
        <v>200</v>
      </c>
      <c r="D55" s="47">
        <f>D54/(1+$C$6)^1</f>
        <v>85.062217194570138</v>
      </c>
      <c r="E55" s="47">
        <f>E54/(1+$C$6)^2</f>
        <v>82.032104174771192</v>
      </c>
      <c r="F55" s="47">
        <f>F54/(1+$C$6)^3</f>
        <v>80.208142387603502</v>
      </c>
      <c r="G55" s="47">
        <f>G54/(1+$C$6)^4</f>
        <v>79.150878289107396</v>
      </c>
      <c r="H55" s="47">
        <f>H54/(1+$C$6)^5</f>
        <v>78.79272951856845</v>
      </c>
      <c r="I55" s="47">
        <f>I54/(1+$C$6)^6</f>
        <v>78.40807679635995</v>
      </c>
      <c r="J55" s="47">
        <f>J54/(1+$C$6)^7</f>
        <v>77.386903093087724</v>
      </c>
      <c r="K55" s="47">
        <f>K54/(1+$C$6)^8</f>
        <v>75.748944749754145</v>
      </c>
      <c r="L55" s="47">
        <f>L54/(1+$C$6)^9</f>
        <v>73.528907335233072</v>
      </c>
      <c r="M55" s="47">
        <f>M54/(1+$C$6)^10</f>
        <v>70.775262270648952</v>
      </c>
    </row>
    <row r="56" spans="2:13" x14ac:dyDescent="0.2">
      <c r="B56" s="6" t="s">
        <v>201</v>
      </c>
      <c r="C56" s="47">
        <f>SUM(D55:M55)</f>
        <v>781.09416580970458</v>
      </c>
    </row>
    <row r="57" spans="2:13" x14ac:dyDescent="0.2">
      <c r="B57" s="6" t="s">
        <v>202</v>
      </c>
      <c r="C57" s="47">
        <f>M54*(1+$C$7)/($C$6-$C$7)/(1+$C$6)^10</f>
        <v>1493.3580339106927</v>
      </c>
    </row>
    <row r="58" spans="2:13" x14ac:dyDescent="0.2">
      <c r="B58" s="12" t="s">
        <v>203</v>
      </c>
      <c r="C58" s="48">
        <f>C56+C57</f>
        <v>2274.4521997203974</v>
      </c>
    </row>
    <row r="59" spans="2:13" x14ac:dyDescent="0.2">
      <c r="B59" s="6" t="s">
        <v>204</v>
      </c>
      <c r="C59" s="49">
        <f>C58/Inputs!$C$9</f>
        <v>3.03260293296053</v>
      </c>
    </row>
    <row r="60" spans="2:13" x14ac:dyDescent="0.2">
      <c r="B60" s="6" t="s">
        <v>205</v>
      </c>
      <c r="C60" s="11">
        <f>C58-Inputs!$C$6</f>
        <v>-2825.5478002796026</v>
      </c>
    </row>
    <row r="61" spans="2:13" x14ac:dyDescent="0.2">
      <c r="B61" s="6" t="s">
        <v>206</v>
      </c>
      <c r="C61" s="15">
        <f>Inputs!$C$11/D48-1</f>
        <v>3.1298904538346051E-4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1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12" width="10" customWidth="1"/>
    <col min="13" max="13" width="4" customWidth="1"/>
    <col min="14" max="14" width="40" customWidth="1"/>
  </cols>
  <sheetData>
    <row r="2" spans="2:12" ht="18" x14ac:dyDescent="0.2">
      <c r="B2" s="21" t="s">
        <v>209</v>
      </c>
    </row>
    <row r="3" spans="2:12" x14ac:dyDescent="0.2">
      <c r="B3" s="73" t="s">
        <v>210</v>
      </c>
    </row>
    <row r="5" spans="2:12" x14ac:dyDescent="0.2">
      <c r="B5" s="35" t="s">
        <v>138</v>
      </c>
      <c r="C5" s="10" t="s">
        <v>107</v>
      </c>
      <c r="D5" s="10" t="s">
        <v>108</v>
      </c>
      <c r="E5" s="10" t="s">
        <v>109</v>
      </c>
      <c r="F5" s="10" t="s">
        <v>110</v>
      </c>
      <c r="G5" s="10" t="s">
        <v>111</v>
      </c>
      <c r="H5" s="10" t="s">
        <v>187</v>
      </c>
      <c r="I5" s="10" t="s">
        <v>188</v>
      </c>
      <c r="J5" s="10" t="s">
        <v>189</v>
      </c>
      <c r="K5" s="10" t="s">
        <v>190</v>
      </c>
      <c r="L5" s="10" t="s">
        <v>191</v>
      </c>
    </row>
    <row r="6" spans="2:12" x14ac:dyDescent="0.2">
      <c r="B6" s="6" t="s">
        <v>211</v>
      </c>
      <c r="C6" s="44">
        <f>Inputs!D$63</f>
        <v>0.1</v>
      </c>
      <c r="D6" s="44">
        <f>Inputs!E$63</f>
        <v>0.2</v>
      </c>
      <c r="E6" s="44">
        <f>Inputs!F$63</f>
        <v>0.3</v>
      </c>
      <c r="F6" s="44">
        <f>Inputs!G$63</f>
        <v>0.4</v>
      </c>
      <c r="G6" s="44">
        <f>Inputs!H$63</f>
        <v>0.5</v>
      </c>
      <c r="H6" s="45">
        <f>G6</f>
        <v>0.5</v>
      </c>
      <c r="I6" s="45">
        <f>H6</f>
        <v>0.5</v>
      </c>
      <c r="J6" s="45">
        <f>I6</f>
        <v>0.5</v>
      </c>
      <c r="K6" s="45">
        <f>J6</f>
        <v>0.5</v>
      </c>
      <c r="L6" s="45">
        <f>K6</f>
        <v>0.5</v>
      </c>
    </row>
    <row r="7" spans="2:12" x14ac:dyDescent="0.2">
      <c r="B7" s="6" t="s">
        <v>212</v>
      </c>
      <c r="C7" s="50">
        <f>Inputs!$C$9*(1-Inputs!$C$15)/Inputs!$C$20*Inputs!$C$65*(1+Inputs!$C$66)</f>
        <v>326.8125</v>
      </c>
      <c r="D7" s="51">
        <f>C7*(1+Inputs!$C$66)</f>
        <v>343.15312499999999</v>
      </c>
      <c r="E7" s="51">
        <f>D7*(1+Inputs!$C$66)</f>
        <v>360.31078124999999</v>
      </c>
      <c r="F7" s="51">
        <f>E7*(1+Inputs!$C$66)</f>
        <v>378.3263203125</v>
      </c>
      <c r="G7" s="51">
        <f>F7*(1+Inputs!$C$66)</f>
        <v>397.242636328125</v>
      </c>
      <c r="H7" s="51">
        <f>G7*(1+Inputs!$C$66)</f>
        <v>417.10476814453125</v>
      </c>
      <c r="I7" s="51">
        <f>H7*(1+Inputs!$C$66)</f>
        <v>437.96000655175783</v>
      </c>
      <c r="J7" s="51">
        <f>I7*(1+Inputs!$C$66)</f>
        <v>459.85800687934574</v>
      </c>
      <c r="K7" s="51">
        <f>J7*(1+Inputs!$C$66)</f>
        <v>482.85090722331307</v>
      </c>
      <c r="L7" s="51">
        <f>K7*(1+Inputs!$C$66)</f>
        <v>506.99345258447875</v>
      </c>
    </row>
    <row r="8" spans="2:12" x14ac:dyDescent="0.2">
      <c r="B8" s="12" t="s">
        <v>213</v>
      </c>
      <c r="C8" s="37">
        <f>C6*C7*Inputs!$C$69</f>
        <v>32.681249999999999</v>
      </c>
      <c r="D8" s="37">
        <f>D6*D7*Inputs!$C$69</f>
        <v>68.630624999999995</v>
      </c>
      <c r="E8" s="37">
        <f>E6*E7*Inputs!$C$69</f>
        <v>108.09323437499999</v>
      </c>
      <c r="F8" s="37">
        <f>F6*F7*Inputs!$C$69</f>
        <v>151.330528125</v>
      </c>
      <c r="G8" s="37">
        <f>G6*G7*Inputs!$C$69</f>
        <v>198.6213181640625</v>
      </c>
      <c r="H8" s="37">
        <f>H6*H7*Inputs!$C$69</f>
        <v>208.55238407226562</v>
      </c>
      <c r="I8" s="37">
        <f>I6*I7*Inputs!$C$69</f>
        <v>218.98000327587891</v>
      </c>
      <c r="J8" s="37">
        <f>J6*J7*Inputs!$C$69</f>
        <v>229.92900343967287</v>
      </c>
      <c r="K8" s="37">
        <f>K6*K7*Inputs!$C$69</f>
        <v>241.42545361165654</v>
      </c>
      <c r="L8" s="37">
        <f>L6*L7*Inputs!$C$69</f>
        <v>253.49672629223937</v>
      </c>
    </row>
    <row r="9" spans="2:12" x14ac:dyDescent="0.2">
      <c r="B9" s="6" t="s">
        <v>214</v>
      </c>
      <c r="C9" s="47">
        <f>C8*Inputs!$C$67</f>
        <v>8.1703124999999996</v>
      </c>
      <c r="D9" s="47">
        <f>D8*Inputs!$C$67</f>
        <v>17.157656249999999</v>
      </c>
      <c r="E9" s="47">
        <f>E8*Inputs!$C$67</f>
        <v>27.023308593749999</v>
      </c>
      <c r="F9" s="47">
        <f>F8*Inputs!$C$67</f>
        <v>37.83263203125</v>
      </c>
      <c r="G9" s="47">
        <f>G8*Inputs!$C$67</f>
        <v>49.655329541015625</v>
      </c>
      <c r="H9" s="47">
        <f>H8*Inputs!$C$67</f>
        <v>52.138096018066406</v>
      </c>
      <c r="I9" s="47">
        <f>I8*Inputs!$C$67</f>
        <v>54.745000818969729</v>
      </c>
      <c r="J9" s="47">
        <f>J8*Inputs!$C$67</f>
        <v>57.482250859918217</v>
      </c>
      <c r="K9" s="47">
        <f>K8*Inputs!$C$67</f>
        <v>60.356363402914134</v>
      </c>
      <c r="L9" s="47">
        <f>L8*Inputs!$C$67</f>
        <v>63.374181573059843</v>
      </c>
    </row>
    <row r="10" spans="2:12" x14ac:dyDescent="0.2">
      <c r="B10" s="6" t="s">
        <v>215</v>
      </c>
      <c r="C10" s="11">
        <f>'Business Plan &amp; DCF'!D30*Inputs!$C$68*Inputs!D$64*Inputs!$C$69</f>
        <v>8.5500000000000007</v>
      </c>
      <c r="D10" s="11">
        <f>'Business Plan &amp; DCF'!E30*Inputs!$C$68*Inputs!E$64*Inputs!$C$69</f>
        <v>19.494000000000007</v>
      </c>
      <c r="E10" s="11">
        <f>'Business Plan &amp; DCF'!F30*Inputs!$C$68*Inputs!F$64*Inputs!$C$69</f>
        <v>22.223160000000007</v>
      </c>
      <c r="F10" s="11">
        <f>'Business Plan &amp; DCF'!G30*Inputs!$C$68*Inputs!G$64*Inputs!$C$69</f>
        <v>25.334402400000013</v>
      </c>
      <c r="G10" s="11">
        <f>'Business Plan &amp; DCF'!H30*Inputs!$C$68*Inputs!H$64*Inputs!$C$69</f>
        <v>28.881218736000019</v>
      </c>
      <c r="H10" s="11">
        <f>'Business Plan &amp; DCF'!I30*Inputs!$C$68*1*Inputs!$C$69</f>
        <v>32.433608640528021</v>
      </c>
      <c r="I10" s="11">
        <f>'Business Plan &amp; DCF'!J30*Inputs!$C$68*1*Inputs!$C$69</f>
        <v>35.871571156423997</v>
      </c>
      <c r="J10" s="11">
        <f>'Business Plan &amp; DCF'!K30*Inputs!$C$68*1*Inputs!$C$69</f>
        <v>39.064140989345731</v>
      </c>
      <c r="K10" s="11">
        <f>'Business Plan &amp; DCF'!L30*Inputs!$C$68*1*Inputs!$C$69</f>
        <v>41.876759140578628</v>
      </c>
      <c r="L10" s="11">
        <f>'Business Plan &amp; DCF'!M30*Inputs!$C$68*1*Inputs!$C$69</f>
        <v>44.17998089331045</v>
      </c>
    </row>
    <row r="11" spans="2:12" x14ac:dyDescent="0.2">
      <c r="B11" s="6" t="s">
        <v>216</v>
      </c>
      <c r="C11" s="11">
        <f>-Inputs!$C$40</f>
        <v>-40</v>
      </c>
    </row>
    <row r="12" spans="2:12" x14ac:dyDescent="0.2">
      <c r="B12" s="12" t="s">
        <v>217</v>
      </c>
      <c r="C12" s="13">
        <f t="shared" ref="C12:L12" si="0">C9+C10+C11</f>
        <v>-23.279687500000001</v>
      </c>
      <c r="D12" s="13">
        <f t="shared" si="0"/>
        <v>36.651656250000002</v>
      </c>
      <c r="E12" s="13">
        <f t="shared" si="0"/>
        <v>49.246468593750009</v>
      </c>
      <c r="F12" s="13">
        <f t="shared" si="0"/>
        <v>63.167034431250016</v>
      </c>
      <c r="G12" s="13">
        <f t="shared" si="0"/>
        <v>78.53654827701564</v>
      </c>
      <c r="H12" s="13">
        <f t="shared" si="0"/>
        <v>84.571704658594427</v>
      </c>
      <c r="I12" s="13">
        <f t="shared" si="0"/>
        <v>90.616571975393725</v>
      </c>
      <c r="J12" s="13">
        <f t="shared" si="0"/>
        <v>96.546391849263955</v>
      </c>
      <c r="K12" s="13">
        <f t="shared" si="0"/>
        <v>102.23312254349275</v>
      </c>
      <c r="L12" s="13">
        <f t="shared" si="0"/>
        <v>107.55416246637029</v>
      </c>
    </row>
    <row r="13" spans="2:12" x14ac:dyDescent="0.2">
      <c r="B13" s="6" t="s">
        <v>218</v>
      </c>
      <c r="C13" s="47">
        <f>C12*(1-Inputs!$C$30)</f>
        <v>-17.459765625000003</v>
      </c>
      <c r="D13" s="47">
        <f>D12*(1-Inputs!$C$30)</f>
        <v>27.488742187500002</v>
      </c>
      <c r="E13" s="47">
        <f>E12*(1-Inputs!$C$30)</f>
        <v>36.934851445312503</v>
      </c>
      <c r="F13" s="47">
        <f>F12*(1-Inputs!$C$30)</f>
        <v>47.375275823437512</v>
      </c>
      <c r="G13" s="47">
        <f>G12*(1-Inputs!$C$30)</f>
        <v>58.90241120776173</v>
      </c>
      <c r="H13" s="47">
        <f>H12*(1-Inputs!$C$30)</f>
        <v>63.428778493945821</v>
      </c>
      <c r="I13" s="47">
        <f>I12*(1-Inputs!$C$30)</f>
        <v>67.962428981545287</v>
      </c>
      <c r="J13" s="47">
        <f>J12*(1-Inputs!$C$30)</f>
        <v>72.409793886947966</v>
      </c>
      <c r="K13" s="47">
        <f>K12*(1-Inputs!$C$30)</f>
        <v>76.674841907619566</v>
      </c>
      <c r="L13" s="47">
        <f>L12*(1-Inputs!$C$30)</f>
        <v>80.665621849777722</v>
      </c>
    </row>
    <row r="14" spans="2:12" x14ac:dyDescent="0.2">
      <c r="B14" s="6" t="s">
        <v>219</v>
      </c>
      <c r="C14" s="11">
        <f>-C8*Inputs!$C$49</f>
        <v>-3.9217499999999998</v>
      </c>
      <c r="D14" s="11">
        <f>-(D8-C8)*Inputs!$C$49</f>
        <v>-4.3139249999999993</v>
      </c>
      <c r="E14" s="11">
        <f>-(E8-D8)*Inputs!$C$49</f>
        <v>-4.7355131249999998</v>
      </c>
      <c r="F14" s="11">
        <f>-(F8-E8)*Inputs!$C$49</f>
        <v>-5.1884752500000006</v>
      </c>
      <c r="G14" s="11">
        <f>-(G8-F8)*Inputs!$C$49</f>
        <v>-5.6748948046874998</v>
      </c>
      <c r="H14" s="11">
        <f>-(H8-G8)*Inputs!$C$49</f>
        <v>-1.1917279089843749</v>
      </c>
      <c r="I14" s="11">
        <f>-(I8-H8)*Inputs!$C$49</f>
        <v>-1.2513143044335948</v>
      </c>
      <c r="J14" s="11">
        <f>-(J8-I8)*Inputs!$C$49</f>
        <v>-1.3138800196552745</v>
      </c>
      <c r="K14" s="11">
        <f>-(K8-J8)*Inputs!$C$49</f>
        <v>-1.37957402063804</v>
      </c>
      <c r="L14" s="11">
        <f>-(L8-K8)*Inputs!$C$49</f>
        <v>-1.4485527216699403</v>
      </c>
    </row>
    <row r="15" spans="2:12" x14ac:dyDescent="0.2">
      <c r="B15" s="12" t="s">
        <v>220</v>
      </c>
      <c r="C15" s="37">
        <f t="shared" ref="C15:L15" si="1">C13+C14</f>
        <v>-21.381515625000002</v>
      </c>
      <c r="D15" s="37">
        <f t="shared" si="1"/>
        <v>23.174817187500004</v>
      </c>
      <c r="E15" s="37">
        <f t="shared" si="1"/>
        <v>32.199338320312506</v>
      </c>
      <c r="F15" s="37">
        <f t="shared" si="1"/>
        <v>42.186800573437509</v>
      </c>
      <c r="G15" s="37">
        <f t="shared" si="1"/>
        <v>53.227516403074233</v>
      </c>
      <c r="H15" s="37">
        <f t="shared" si="1"/>
        <v>62.237050584961445</v>
      </c>
      <c r="I15" s="37">
        <f t="shared" si="1"/>
        <v>66.711114677111695</v>
      </c>
      <c r="J15" s="37">
        <f t="shared" si="1"/>
        <v>71.095913867292694</v>
      </c>
      <c r="K15" s="37">
        <f t="shared" si="1"/>
        <v>75.29526788698152</v>
      </c>
      <c r="L15" s="37">
        <f t="shared" si="1"/>
        <v>79.217069128107781</v>
      </c>
    </row>
    <row r="16" spans="2:12" x14ac:dyDescent="0.2">
      <c r="B16" s="6" t="s">
        <v>221</v>
      </c>
      <c r="C16" s="11">
        <f>C15/(1+'Business Plan &amp; DCF'!$C$6)^1</f>
        <v>-19.349787895927605</v>
      </c>
      <c r="D16" s="11">
        <f>D15/(1+'Business Plan &amp; DCF'!$C$6)^2</f>
        <v>18.97980564484757</v>
      </c>
      <c r="E16" s="11">
        <f>E15/(1+'Business Plan &amp; DCF'!$C$6)^3</f>
        <v>23.864927162069261</v>
      </c>
      <c r="F16" s="11">
        <f>F15/(1+'Business Plan &amp; DCF'!$C$6)^4</f>
        <v>28.29615839333805</v>
      </c>
      <c r="G16" s="11">
        <f>G15/(1+'Business Plan &amp; DCF'!$C$6)^5</f>
        <v>32.309096417257216</v>
      </c>
      <c r="H16" s="11">
        <f>H15/(1+'Business Plan &amp; DCF'!$C$6)^6</f>
        <v>34.188129089053966</v>
      </c>
      <c r="I16" s="11">
        <f>I15/(1+'Business Plan &amp; DCF'!$C$6)^7</f>
        <v>33.163644511532908</v>
      </c>
      <c r="J16" s="11">
        <f>J15/(1+'Business Plan &amp; DCF'!$C$6)^8</f>
        <v>31.985004550729212</v>
      </c>
      <c r="K16" s="11">
        <f>K15/(1+'Business Plan &amp; DCF'!$C$6)^9</f>
        <v>30.655413643661667</v>
      </c>
      <c r="L16" s="11">
        <f>L15/(1+'Business Plan &amp; DCF'!$C$6)^10</f>
        <v>29.187438991401088</v>
      </c>
    </row>
    <row r="18" spans="2:3" x14ac:dyDescent="0.2">
      <c r="B18" s="6" t="s">
        <v>201</v>
      </c>
      <c r="C18" s="47">
        <f>SUM(C16:L16)</f>
        <v>243.27983050796331</v>
      </c>
    </row>
    <row r="19" spans="2:3" x14ac:dyDescent="0.2">
      <c r="B19" s="6" t="s">
        <v>202</v>
      </c>
      <c r="C19" s="11">
        <f>L15*(1+Inputs!$C$46)/('Business Plan &amp; DCF'!$C$6-Inputs!$C$46)/(1+'Business Plan &amp; DCF'!$C$6)^10</f>
        <v>615.854962718563</v>
      </c>
    </row>
    <row r="20" spans="2:3" x14ac:dyDescent="0.2">
      <c r="B20" s="12" t="s">
        <v>222</v>
      </c>
      <c r="C20" s="48">
        <f>C18+C19</f>
        <v>859.13479322652631</v>
      </c>
    </row>
    <row r="21" spans="2:3" x14ac:dyDescent="0.2">
      <c r="B21" s="6" t="s">
        <v>223</v>
      </c>
      <c r="C21" s="15">
        <f>G8/'Business Plan &amp; DCF'!H30</f>
        <v>0.13754358497100672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4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12" customWidth="1"/>
    <col min="3" max="3" width="22" customWidth="1"/>
    <col min="4" max="4" width="26" customWidth="1"/>
    <col min="5" max="5" width="22" customWidth="1"/>
    <col min="6" max="7" width="12" customWidth="1"/>
    <col min="8" max="8" width="11" customWidth="1"/>
    <col min="9" max="9" width="4" customWidth="1"/>
    <col min="10" max="10" width="44" customWidth="1"/>
  </cols>
  <sheetData>
    <row r="2" spans="2:10" ht="18" x14ac:dyDescent="0.2">
      <c r="B2" s="21" t="s">
        <v>224</v>
      </c>
    </row>
    <row r="3" spans="2:10" x14ac:dyDescent="0.2">
      <c r="B3" s="73" t="s">
        <v>225</v>
      </c>
    </row>
    <row r="5" spans="2:10" x14ac:dyDescent="0.2">
      <c r="B5" s="35" t="s">
        <v>226</v>
      </c>
      <c r="C5" s="35" t="s">
        <v>227</v>
      </c>
      <c r="D5" s="35" t="s">
        <v>228</v>
      </c>
      <c r="E5" s="35" t="s">
        <v>159</v>
      </c>
      <c r="F5" s="52" t="s">
        <v>229</v>
      </c>
      <c r="G5" s="52" t="s">
        <v>193</v>
      </c>
      <c r="H5" s="52" t="s">
        <v>230</v>
      </c>
      <c r="J5" s="35" t="s">
        <v>231</v>
      </c>
    </row>
    <row r="6" spans="2:10" x14ac:dyDescent="0.2">
      <c r="B6" s="16" t="s">
        <v>232</v>
      </c>
      <c r="C6" s="16" t="s">
        <v>233</v>
      </c>
      <c r="D6" s="16" t="s">
        <v>234</v>
      </c>
      <c r="E6" s="16" t="s">
        <v>235</v>
      </c>
      <c r="F6" s="23">
        <v>1152</v>
      </c>
      <c r="G6" s="23">
        <v>250</v>
      </c>
      <c r="H6" s="53">
        <f>F6/G6</f>
        <v>4.6079999999999997</v>
      </c>
      <c r="J6" s="3" t="s">
        <v>236</v>
      </c>
    </row>
    <row r="7" spans="2:10" x14ac:dyDescent="0.2">
      <c r="B7" s="16" t="s">
        <v>237</v>
      </c>
      <c r="C7" s="16" t="s">
        <v>238</v>
      </c>
      <c r="D7" s="16" t="s">
        <v>239</v>
      </c>
      <c r="E7" s="16" t="s">
        <v>240</v>
      </c>
      <c r="F7" s="23">
        <v>1900</v>
      </c>
      <c r="G7" s="23">
        <v>365</v>
      </c>
      <c r="H7" s="53">
        <f>F7/G7</f>
        <v>5.2054794520547949</v>
      </c>
      <c r="J7" s="3" t="s">
        <v>241</v>
      </c>
    </row>
    <row r="8" spans="2:10" x14ac:dyDescent="0.2">
      <c r="B8" s="16" t="s">
        <v>242</v>
      </c>
      <c r="C8" s="16" t="s">
        <v>243</v>
      </c>
      <c r="D8" s="16" t="s">
        <v>244</v>
      </c>
      <c r="E8" s="16" t="s">
        <v>245</v>
      </c>
      <c r="F8" s="23">
        <v>2955</v>
      </c>
      <c r="G8" s="23">
        <v>347</v>
      </c>
      <c r="H8" s="53">
        <f>F8/G8</f>
        <v>8.5158501440922194</v>
      </c>
      <c r="J8" s="3" t="s">
        <v>246</v>
      </c>
    </row>
    <row r="9" spans="2:10" x14ac:dyDescent="0.2">
      <c r="B9" s="16" t="s">
        <v>247</v>
      </c>
      <c r="C9" s="16" t="s">
        <v>248</v>
      </c>
      <c r="D9" s="16" t="s">
        <v>249</v>
      </c>
      <c r="E9" s="16" t="s">
        <v>250</v>
      </c>
      <c r="F9" s="23">
        <v>472.5</v>
      </c>
      <c r="G9" s="23">
        <v>306.10000000000002</v>
      </c>
      <c r="H9" s="53">
        <f>F9/G9</f>
        <v>1.5436131983012087</v>
      </c>
      <c r="J9" s="3" t="s">
        <v>251</v>
      </c>
    </row>
    <row r="10" spans="2:10" x14ac:dyDescent="0.2">
      <c r="G10" s="54" t="s">
        <v>252</v>
      </c>
      <c r="H10" s="55">
        <f>QUARTILE(H6:H9,3)</f>
        <v>6.0330721250641508</v>
      </c>
    </row>
    <row r="11" spans="2:10" x14ac:dyDescent="0.2">
      <c r="G11" s="54" t="s">
        <v>253</v>
      </c>
      <c r="H11" s="53">
        <f>MEDIAN(H6:H9)</f>
        <v>4.9067397260273973</v>
      </c>
    </row>
    <row r="12" spans="2:10" x14ac:dyDescent="0.2">
      <c r="G12" s="54" t="s">
        <v>254</v>
      </c>
      <c r="H12" s="53">
        <f>QUARTILE(H6:H9,1)</f>
        <v>3.8419032995753017</v>
      </c>
    </row>
    <row r="14" spans="2:10" x14ac:dyDescent="0.2">
      <c r="B14" s="56" t="s">
        <v>237</v>
      </c>
      <c r="C14" s="56" t="s">
        <v>238</v>
      </c>
      <c r="D14" s="56" t="s">
        <v>255</v>
      </c>
      <c r="E14" s="56" t="s">
        <v>256</v>
      </c>
      <c r="F14" s="7">
        <f>Inputs!$C$6</f>
        <v>5100</v>
      </c>
      <c r="G14" s="7">
        <f>Inputs!$C$9</f>
        <v>750</v>
      </c>
      <c r="H14" s="41">
        <f>F14/G14</f>
        <v>6.8</v>
      </c>
      <c r="J14" s="3" t="s">
        <v>257</v>
      </c>
    </row>
    <row r="16" spans="2:10" x14ac:dyDescent="0.2">
      <c r="B16" s="4" t="s">
        <v>258</v>
      </c>
      <c r="C16" s="5"/>
      <c r="D16" s="5"/>
      <c r="E16" s="5"/>
      <c r="F16" s="5"/>
      <c r="G16" s="5"/>
      <c r="H16" s="5"/>
    </row>
    <row r="17" spans="2:10" x14ac:dyDescent="0.2">
      <c r="F17" s="52" t="s">
        <v>259</v>
      </c>
      <c r="G17" s="52" t="s">
        <v>253</v>
      </c>
      <c r="H17" s="52" t="s">
        <v>260</v>
      </c>
    </row>
    <row r="18" spans="2:10" x14ac:dyDescent="0.2">
      <c r="B18" s="12" t="s">
        <v>261</v>
      </c>
      <c r="F18" s="7">
        <f>H$12*Inputs!$C$9</f>
        <v>2881.4274746814763</v>
      </c>
      <c r="G18" s="7">
        <f>H$11*Inputs!$C$9</f>
        <v>3680.0547945205481</v>
      </c>
      <c r="H18" s="7">
        <f>H$10*Inputs!$C$9</f>
        <v>4524.8040937981132</v>
      </c>
    </row>
    <row r="20" spans="2:10" x14ac:dyDescent="0.2">
      <c r="B20" s="4" t="s">
        <v>262</v>
      </c>
      <c r="C20" s="5"/>
      <c r="D20" s="5"/>
      <c r="E20" s="5"/>
      <c r="F20" s="5"/>
      <c r="G20" s="5"/>
      <c r="H20" s="5"/>
    </row>
    <row r="21" spans="2:10" x14ac:dyDescent="0.2">
      <c r="B21" s="6" t="s">
        <v>263</v>
      </c>
      <c r="F21" s="49">
        <f>Inputs!$C$27/Inputs!$C$24</f>
        <v>6.5763514402209653</v>
      </c>
    </row>
    <row r="22" spans="2:10" x14ac:dyDescent="0.2">
      <c r="B22" s="6" t="s">
        <v>264</v>
      </c>
      <c r="F22" s="49">
        <f>Inputs!$C$27/Inputs!$C$25</f>
        <v>43.047783039173481</v>
      </c>
    </row>
    <row r="23" spans="2:10" x14ac:dyDescent="0.2">
      <c r="B23" s="6" t="s">
        <v>265</v>
      </c>
      <c r="F23" s="49">
        <f>Inputs!$C$6/(Inputs!$C$9*Inputs!$C$13)</f>
        <v>34</v>
      </c>
    </row>
    <row r="24" spans="2:10" ht="30" customHeight="1" x14ac:dyDescent="0.2">
      <c r="B24" s="6" t="s">
        <v>266</v>
      </c>
      <c r="F24" s="11">
        <f>F21*Inputs!$C$9</f>
        <v>4932.2635801657243</v>
      </c>
      <c r="J24" s="42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2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54" customWidth="1"/>
    <col min="3" max="6" width="12" customWidth="1"/>
    <col min="7" max="7" width="4" customWidth="1"/>
    <col min="8" max="8" width="46" customWidth="1"/>
  </cols>
  <sheetData>
    <row r="2" spans="2:6" ht="18" x14ac:dyDescent="0.2">
      <c r="B2" s="21" t="s">
        <v>268</v>
      </c>
    </row>
    <row r="3" spans="2:6" x14ac:dyDescent="0.2">
      <c r="B3" s="73" t="s">
        <v>269</v>
      </c>
    </row>
    <row r="5" spans="2:6" x14ac:dyDescent="0.2">
      <c r="B5" s="4" t="s">
        <v>270</v>
      </c>
      <c r="C5" s="5"/>
      <c r="D5" s="5"/>
      <c r="E5" s="5"/>
      <c r="F5" s="5"/>
    </row>
    <row r="6" spans="2:6" x14ac:dyDescent="0.2">
      <c r="B6" s="12" t="s">
        <v>271</v>
      </c>
      <c r="C6" s="7">
        <f>Inputs!$C$6</f>
        <v>5100</v>
      </c>
    </row>
    <row r="7" spans="2:6" x14ac:dyDescent="0.2">
      <c r="B7" s="6" t="s">
        <v>272</v>
      </c>
      <c r="C7" s="15">
        <f>Inputs!$C$36</f>
        <v>0.42857142857142855</v>
      </c>
    </row>
    <row r="8" spans="2:6" x14ac:dyDescent="0.2">
      <c r="B8" s="6" t="s">
        <v>273</v>
      </c>
      <c r="C8" s="47">
        <f>C6*C7</f>
        <v>2185.7142857142858</v>
      </c>
    </row>
    <row r="9" spans="2:6" x14ac:dyDescent="0.2">
      <c r="B9" s="6" t="s">
        <v>274</v>
      </c>
      <c r="C9" s="44">
        <f>C8/Inputs!$C$34</f>
        <v>2.6720223541739436</v>
      </c>
    </row>
    <row r="10" spans="2:6" x14ac:dyDescent="0.2">
      <c r="B10" s="6" t="s">
        <v>275</v>
      </c>
      <c r="C10" s="47">
        <f>C6-C8</f>
        <v>2914.2857142857142</v>
      </c>
    </row>
    <row r="11" spans="2:6" x14ac:dyDescent="0.2">
      <c r="B11" s="6" t="s">
        <v>276</v>
      </c>
      <c r="C11" s="11">
        <f>C10*Inputs!$C$37*(1-Inputs!$C$30)</f>
        <v>169.39285714285714</v>
      </c>
    </row>
    <row r="12" spans="2:6" x14ac:dyDescent="0.2">
      <c r="B12" s="6" t="s">
        <v>277</v>
      </c>
      <c r="C12" s="11">
        <f>C6*Inputs!$C$38/Inputs!$C$39</f>
        <v>51</v>
      </c>
    </row>
    <row r="14" spans="2:6" x14ac:dyDescent="0.2">
      <c r="B14" s="4" t="s">
        <v>278</v>
      </c>
      <c r="C14" s="5"/>
      <c r="D14" s="5"/>
      <c r="E14" s="5"/>
      <c r="F14" s="5"/>
    </row>
    <row r="15" spans="2:6" x14ac:dyDescent="0.2">
      <c r="B15" s="35" t="s">
        <v>138</v>
      </c>
      <c r="C15" s="9"/>
      <c r="D15" s="10" t="s">
        <v>107</v>
      </c>
      <c r="E15" s="10" t="s">
        <v>108</v>
      </c>
      <c r="F15" s="10" t="s">
        <v>109</v>
      </c>
    </row>
    <row r="16" spans="2:6" x14ac:dyDescent="0.2">
      <c r="B16" s="6" t="s">
        <v>279</v>
      </c>
      <c r="D16" s="11">
        <f>Inputs!$C$26*(1+Inputs!$C$29)^1</f>
        <v>1265.3630000000001</v>
      </c>
      <c r="E16" s="11">
        <f>Inputs!$C$26*(1+Inputs!$C$29)^2</f>
        <v>1391.8993</v>
      </c>
      <c r="F16" s="11">
        <f>Inputs!$C$26*(1+Inputs!$C$29)^3</f>
        <v>1531.0892300000003</v>
      </c>
    </row>
    <row r="17" spans="2:8" x14ac:dyDescent="0.2">
      <c r="B17" s="6" t="s">
        <v>280</v>
      </c>
      <c r="D17" s="11">
        <f>CHOOSE(Inputs!$C$50,'Business Plan &amp; DCF'!D17,'Business Plan &amp; DCF'!D35,'Business Plan &amp; DCF'!D53)</f>
        <v>115.42500000000003</v>
      </c>
      <c r="E17" s="11">
        <f>CHOOSE(Inputs!$C$50,'Business Plan &amp; DCF'!E17,'Business Plan &amp; DCF'!E35,'Business Plan &amp; DCF'!E53)</f>
        <v>133.41206250000005</v>
      </c>
      <c r="F17" s="11">
        <f>CHOOSE(Inputs!$C$50,'Business Plan &amp; DCF'!F17,'Business Plan &amp; DCF'!F35,'Business Plan &amp; DCF'!F53)</f>
        <v>154.17317250000005</v>
      </c>
    </row>
    <row r="18" spans="2:8" x14ac:dyDescent="0.2">
      <c r="B18" s="6" t="s">
        <v>281</v>
      </c>
      <c r="D18" s="11">
        <f>Synergies!C13</f>
        <v>-17.459765625000003</v>
      </c>
      <c r="E18" s="11">
        <f>Synergies!D13</f>
        <v>27.488742187500002</v>
      </c>
      <c r="F18" s="11">
        <f>Synergies!E13</f>
        <v>36.934851445312503</v>
      </c>
    </row>
    <row r="19" spans="2:8" x14ac:dyDescent="0.2">
      <c r="B19" s="6" t="s">
        <v>282</v>
      </c>
      <c r="D19" s="47">
        <f>-$C$11</f>
        <v>-169.39285714285714</v>
      </c>
      <c r="E19" s="47">
        <f>-$C$11</f>
        <v>-169.39285714285714</v>
      </c>
      <c r="F19" s="47">
        <f>-$C$11</f>
        <v>-169.39285714285714</v>
      </c>
    </row>
    <row r="20" spans="2:8" x14ac:dyDescent="0.2">
      <c r="B20" s="6" t="s">
        <v>283</v>
      </c>
      <c r="D20" s="11">
        <f>-$C$12*(1-Inputs!$C$30)</f>
        <v>-38.25</v>
      </c>
      <c r="E20" s="11">
        <f>-$C$12*(1-Inputs!$C$30)</f>
        <v>-38.25</v>
      </c>
      <c r="F20" s="11">
        <f>-$C$12*(1-Inputs!$C$30)</f>
        <v>-38.25</v>
      </c>
    </row>
    <row r="21" spans="2:8" x14ac:dyDescent="0.2">
      <c r="B21" s="12" t="s">
        <v>284</v>
      </c>
      <c r="D21" s="13">
        <f>SUM(D16:D20)</f>
        <v>1155.6853772321429</v>
      </c>
      <c r="E21" s="13">
        <f>SUM(E16:E20)</f>
        <v>1345.157247544643</v>
      </c>
      <c r="F21" s="13">
        <f>SUM(F16:F20)</f>
        <v>1514.5543968024556</v>
      </c>
    </row>
    <row r="23" spans="2:8" x14ac:dyDescent="0.2">
      <c r="B23" s="6" t="s">
        <v>285</v>
      </c>
      <c r="D23" s="44">
        <f>Inputs!$C$28</f>
        <v>95.16</v>
      </c>
      <c r="E23" s="44">
        <f>Inputs!$C$28</f>
        <v>95.16</v>
      </c>
      <c r="F23" s="44">
        <f>Inputs!$C$28</f>
        <v>95.16</v>
      </c>
    </row>
    <row r="24" spans="2:8" x14ac:dyDescent="0.2">
      <c r="B24" s="6" t="s">
        <v>286</v>
      </c>
      <c r="D24" s="45">
        <f>D23+$C$9</f>
        <v>97.832022354173944</v>
      </c>
      <c r="E24" s="45">
        <f>E23+$C$9</f>
        <v>97.832022354173944</v>
      </c>
      <c r="F24" s="45">
        <f>F23+$C$9</f>
        <v>97.832022354173944</v>
      </c>
    </row>
    <row r="26" spans="2:8" x14ac:dyDescent="0.2">
      <c r="B26" s="6" t="s">
        <v>287</v>
      </c>
      <c r="D26" s="45">
        <f>D16/D23</f>
        <v>13.297215216477513</v>
      </c>
      <c r="E26" s="45">
        <f>E16/E23</f>
        <v>14.626936738125263</v>
      </c>
      <c r="F26" s="45">
        <f>F16/F23</f>
        <v>16.089630411937794</v>
      </c>
    </row>
    <row r="27" spans="2:8" x14ac:dyDescent="0.2">
      <c r="B27" s="12" t="s">
        <v>288</v>
      </c>
      <c r="D27" s="57">
        <f>D21/D24</f>
        <v>11.812956018105213</v>
      </c>
      <c r="E27" s="57">
        <f>E21/E24</f>
        <v>13.749662075622551</v>
      </c>
      <c r="F27" s="57">
        <f>F21/F24</f>
        <v>15.481172323305632</v>
      </c>
    </row>
    <row r="28" spans="2:8" ht="39.75" customHeight="1" x14ac:dyDescent="0.2">
      <c r="B28" s="12" t="s">
        <v>289</v>
      </c>
      <c r="D28" s="58">
        <f>D27/D26-1</f>
        <v>-0.1116218075896861</v>
      </c>
      <c r="E28" s="58">
        <f>E27/E26-1</f>
        <v>-5.9976649807754079E-2</v>
      </c>
      <c r="F28" s="58">
        <f>F27/F26-1</f>
        <v>-3.7816784665278158E-2</v>
      </c>
      <c r="H28" s="42" t="s">
        <v>290</v>
      </c>
    </row>
    <row r="29" spans="2:8" x14ac:dyDescent="0.2">
      <c r="B29" s="12" t="s">
        <v>291</v>
      </c>
      <c r="D29" s="58">
        <f>(D21-D20)/D24/D26-1</f>
        <v>-8.2218938496475436E-2</v>
      </c>
      <c r="E29" s="58">
        <f>(E21-E20)/E24/E26-1</f>
        <v>-3.3246768813926186E-2</v>
      </c>
      <c r="F29" s="58">
        <f>(F21-F20)/F24/F26-1</f>
        <v>-1.3516892852707296E-2</v>
      </c>
    </row>
    <row r="30" spans="2:8" x14ac:dyDescent="0.2">
      <c r="B30" s="12" t="s">
        <v>292</v>
      </c>
      <c r="D30" s="33" t="str">
        <f>IF(D28&gt;=0,"Accretive","Dilutive")</f>
        <v>Dilutive</v>
      </c>
      <c r="E30" s="33" t="str">
        <f>IF(E28&gt;=0,"Accretive","Dilutive")</f>
        <v>Dilutive</v>
      </c>
      <c r="F30" s="33" t="str">
        <f>IF(F28&gt;=0,"Accretive","Dilutive")</f>
        <v>Dilutive</v>
      </c>
    </row>
    <row r="32" spans="2:8" x14ac:dyDescent="0.2">
      <c r="B32" s="6" t="s">
        <v>293</v>
      </c>
      <c r="C32" s="59" t="str">
        <f>CHOOSE(Inputs!$C$50,"Management","Base","Downside")</f>
        <v>Base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31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8" width="12" customWidth="1"/>
    <col min="9" max="9" width="4" customWidth="1"/>
    <col min="10" max="10" width="46" customWidth="1"/>
  </cols>
  <sheetData>
    <row r="2" spans="2:10" ht="18" x14ac:dyDescent="0.2">
      <c r="B2" s="21" t="s">
        <v>294</v>
      </c>
    </row>
    <row r="3" spans="2:10" x14ac:dyDescent="0.2">
      <c r="B3" s="73" t="s">
        <v>295</v>
      </c>
    </row>
    <row r="5" spans="2:10" ht="42" x14ac:dyDescent="0.2">
      <c r="B5" s="4" t="s">
        <v>296</v>
      </c>
      <c r="C5" s="5"/>
      <c r="D5" s="5"/>
      <c r="E5" s="5"/>
      <c r="F5" s="5"/>
      <c r="J5" s="42" t="s">
        <v>297</v>
      </c>
    </row>
    <row r="6" spans="2:10" x14ac:dyDescent="0.2">
      <c r="B6" s="60" t="s">
        <v>298</v>
      </c>
      <c r="C6" s="61">
        <v>0.18</v>
      </c>
      <c r="D6" s="61">
        <v>0.2</v>
      </c>
      <c r="E6" s="61">
        <v>0.22</v>
      </c>
      <c r="F6" s="61">
        <v>0.24</v>
      </c>
    </row>
    <row r="7" spans="2:10" x14ac:dyDescent="0.2">
      <c r="B7" s="62">
        <v>0.06</v>
      </c>
      <c r="C7" s="63">
        <f>SensCalc!O5</f>
        <v>1687.3514456592379</v>
      </c>
      <c r="D7" s="63">
        <f>SensCalc!O8</f>
        <v>1931.6639762861482</v>
      </c>
      <c r="E7" s="63">
        <f>SensCalc!O11</f>
        <v>2175.9765069130585</v>
      </c>
      <c r="F7" s="63">
        <f>SensCalc!O14</f>
        <v>2420.2890375399688</v>
      </c>
    </row>
    <row r="8" spans="2:10" x14ac:dyDescent="0.2">
      <c r="B8" s="62">
        <v>0.1</v>
      </c>
      <c r="C8" s="63">
        <f>SensCalc!O17</f>
        <v>2099.484285951964</v>
      </c>
      <c r="D8" s="63">
        <f>SensCalc!O20</f>
        <v>2406.4962367519074</v>
      </c>
      <c r="E8" s="63">
        <f>SensCalc!O23</f>
        <v>2713.5081875518504</v>
      </c>
      <c r="F8" s="63">
        <f>SensCalc!O26</f>
        <v>3020.5201383517933</v>
      </c>
    </row>
    <row r="9" spans="2:10" x14ac:dyDescent="0.2">
      <c r="B9" s="62">
        <v>0.14000000000000001</v>
      </c>
      <c r="C9" s="63">
        <f>SensCalc!O29</f>
        <v>2607.7721756769943</v>
      </c>
      <c r="D9" s="63">
        <f>SensCalc!O32</f>
        <v>2992.111999558098</v>
      </c>
      <c r="E9" s="63">
        <f>SensCalc!O35</f>
        <v>3376.4518234392008</v>
      </c>
      <c r="F9" s="63">
        <f>SensCalc!O38</f>
        <v>3760.7916473203031</v>
      </c>
    </row>
    <row r="10" spans="2:10" x14ac:dyDescent="0.2">
      <c r="B10" s="62">
        <v>0.18</v>
      </c>
      <c r="C10" s="63">
        <f>SensCalc!O41</f>
        <v>3231.4148126284967</v>
      </c>
      <c r="D10" s="63">
        <f>SensCalc!O44</f>
        <v>3710.631889446463</v>
      </c>
      <c r="E10" s="63">
        <f>SensCalc!O47</f>
        <v>4189.8489662644279</v>
      </c>
      <c r="F10" s="63">
        <f>SensCalc!O50</f>
        <v>4669.0660430823937</v>
      </c>
    </row>
    <row r="11" spans="2:10" x14ac:dyDescent="0.2">
      <c r="B11" s="62">
        <v>0.22</v>
      </c>
      <c r="C11" s="63">
        <f>SensCalc!O53</f>
        <v>3992.7630742820634</v>
      </c>
      <c r="D11" s="63">
        <f>SensCalc!O56</f>
        <v>4587.8071124300695</v>
      </c>
      <c r="E11" s="63">
        <f>SensCalc!O59</f>
        <v>5182.8511505780752</v>
      </c>
      <c r="F11" s="63">
        <f>SensCalc!O62</f>
        <v>5777.8951887260791</v>
      </c>
    </row>
    <row r="12" spans="2:10" x14ac:dyDescent="0.2">
      <c r="B12" s="62">
        <v>0.26</v>
      </c>
      <c r="C12" s="63">
        <f>SensCalc!O65</f>
        <v>4917.7290498395651</v>
      </c>
      <c r="D12" s="63">
        <f>SensCalc!O68</f>
        <v>5653.4918676559109</v>
      </c>
      <c r="E12" s="63">
        <f>SensCalc!O71</f>
        <v>6389.2546854722559</v>
      </c>
      <c r="F12" s="63">
        <f>SensCalc!O74</f>
        <v>7125.0175032886018</v>
      </c>
    </row>
    <row r="14" spans="2:10" x14ac:dyDescent="0.2">
      <c r="B14" s="64" t="s">
        <v>299</v>
      </c>
      <c r="C14" s="65">
        <f>Inputs!$C$6</f>
        <v>5100</v>
      </c>
    </row>
    <row r="16" spans="2:10" ht="28" x14ac:dyDescent="0.2">
      <c r="B16" s="4" t="s">
        <v>300</v>
      </c>
      <c r="C16" s="5"/>
      <c r="D16" s="5"/>
      <c r="E16" s="5"/>
      <c r="F16" s="5"/>
      <c r="G16" s="5"/>
      <c r="J16" s="42" t="s">
        <v>301</v>
      </c>
    </row>
    <row r="17" spans="2:10" x14ac:dyDescent="0.2">
      <c r="B17" s="60" t="s">
        <v>302</v>
      </c>
      <c r="C17" s="61">
        <v>0</v>
      </c>
      <c r="D17" s="61">
        <v>0.5</v>
      </c>
      <c r="E17" s="61">
        <v>1</v>
      </c>
      <c r="F17" s="61">
        <v>1.5</v>
      </c>
      <c r="G17" s="61">
        <v>2</v>
      </c>
    </row>
    <row r="18" spans="2:10" x14ac:dyDescent="0.2">
      <c r="B18" s="66">
        <v>3000</v>
      </c>
      <c r="C18" s="67">
        <f>'Business Plan &amp; DCF'!$C$40+IF(Inputs!$C$69=0,0,Synergies!$C$20/Inputs!$C$69)*C$17-$B18</f>
        <v>169.30714243810553</v>
      </c>
      <c r="D18" s="67">
        <f>'Business Plan &amp; DCF'!$C$40+IF(Inputs!$C$69=0,0,Synergies!$C$20/Inputs!$C$69)*D$17-$B18</f>
        <v>598.87453905136863</v>
      </c>
      <c r="E18" s="67">
        <f>'Business Plan &amp; DCF'!$C$40+IF(Inputs!$C$69=0,0,Synergies!$C$20/Inputs!$C$69)*E$17-$B18</f>
        <v>1028.4419356646317</v>
      </c>
      <c r="F18" s="67">
        <f>'Business Plan &amp; DCF'!$C$40+IF(Inputs!$C$69=0,0,Synergies!$C$20/Inputs!$C$69)*F$17-$B18</f>
        <v>1458.0093322778948</v>
      </c>
      <c r="G18" s="67">
        <f>'Business Plan &amp; DCF'!$C$40+IF(Inputs!$C$69=0,0,Synergies!$C$20/Inputs!$C$69)*G$17-$B18</f>
        <v>1887.5767288911584</v>
      </c>
    </row>
    <row r="19" spans="2:10" x14ac:dyDescent="0.2">
      <c r="B19" s="66">
        <v>3500</v>
      </c>
      <c r="C19" s="67">
        <f>'Business Plan &amp; DCF'!$C$40+IF(Inputs!$C$69=0,0,Synergies!$C$20/Inputs!$C$69)*C$17-$B19</f>
        <v>-330.69285756189447</v>
      </c>
      <c r="D19" s="67">
        <f>'Business Plan &amp; DCF'!$C$40+IF(Inputs!$C$69=0,0,Synergies!$C$20/Inputs!$C$69)*D$17-$B19</f>
        <v>98.874539051368629</v>
      </c>
      <c r="E19" s="67">
        <f>'Business Plan &amp; DCF'!$C$40+IF(Inputs!$C$69=0,0,Synergies!$C$20/Inputs!$C$69)*E$17-$B19</f>
        <v>528.44193566463173</v>
      </c>
      <c r="F19" s="67">
        <f>'Business Plan &amp; DCF'!$C$40+IF(Inputs!$C$69=0,0,Synergies!$C$20/Inputs!$C$69)*F$17-$B19</f>
        <v>958.00933227789483</v>
      </c>
      <c r="G19" s="67">
        <f>'Business Plan &amp; DCF'!$C$40+IF(Inputs!$C$69=0,0,Synergies!$C$20/Inputs!$C$69)*G$17-$B19</f>
        <v>1387.5767288911584</v>
      </c>
    </row>
    <row r="20" spans="2:10" x14ac:dyDescent="0.2">
      <c r="B20" s="66">
        <v>4000</v>
      </c>
      <c r="C20" s="67">
        <f>'Business Plan &amp; DCF'!$C$40+IF(Inputs!$C$69=0,0,Synergies!$C$20/Inputs!$C$69)*C$17-$B20</f>
        <v>-830.69285756189447</v>
      </c>
      <c r="D20" s="67">
        <f>'Business Plan &amp; DCF'!$C$40+IF(Inputs!$C$69=0,0,Synergies!$C$20/Inputs!$C$69)*D$17-$B20</f>
        <v>-401.12546094863137</v>
      </c>
      <c r="E20" s="67">
        <f>'Business Plan &amp; DCF'!$C$40+IF(Inputs!$C$69=0,0,Synergies!$C$20/Inputs!$C$69)*E$17-$B20</f>
        <v>28.441935664631728</v>
      </c>
      <c r="F20" s="67">
        <f>'Business Plan &amp; DCF'!$C$40+IF(Inputs!$C$69=0,0,Synergies!$C$20/Inputs!$C$69)*F$17-$B20</f>
        <v>458.00933227789483</v>
      </c>
      <c r="G20" s="67">
        <f>'Business Plan &amp; DCF'!$C$40+IF(Inputs!$C$69=0,0,Synergies!$C$20/Inputs!$C$69)*G$17-$B20</f>
        <v>887.57672889115838</v>
      </c>
    </row>
    <row r="21" spans="2:10" x14ac:dyDescent="0.2">
      <c r="B21" s="66">
        <v>4500</v>
      </c>
      <c r="C21" s="67">
        <f>'Business Plan &amp; DCF'!$C$40+IF(Inputs!$C$69=0,0,Synergies!$C$20/Inputs!$C$69)*C$17-$B21</f>
        <v>-1330.6928575618945</v>
      </c>
      <c r="D21" s="67">
        <f>'Business Plan &amp; DCF'!$C$40+IF(Inputs!$C$69=0,0,Synergies!$C$20/Inputs!$C$69)*D$17-$B21</f>
        <v>-901.12546094863137</v>
      </c>
      <c r="E21" s="67">
        <f>'Business Plan &amp; DCF'!$C$40+IF(Inputs!$C$69=0,0,Synergies!$C$20/Inputs!$C$69)*E$17-$B21</f>
        <v>-471.55806433536827</v>
      </c>
      <c r="F21" s="67">
        <f>'Business Plan &amp; DCF'!$C$40+IF(Inputs!$C$69=0,0,Synergies!$C$20/Inputs!$C$69)*F$17-$B21</f>
        <v>-41.990667722105172</v>
      </c>
      <c r="G21" s="67">
        <f>'Business Plan &amp; DCF'!$C$40+IF(Inputs!$C$69=0,0,Synergies!$C$20/Inputs!$C$69)*G$17-$B21</f>
        <v>387.57672889115838</v>
      </c>
    </row>
    <row r="22" spans="2:10" x14ac:dyDescent="0.2">
      <c r="B22" s="66">
        <v>5100</v>
      </c>
      <c r="C22" s="67">
        <f>'Business Plan &amp; DCF'!$C$40+IF(Inputs!$C$69=0,0,Synergies!$C$20/Inputs!$C$69)*C$17-$B22</f>
        <v>-1930.6928575618945</v>
      </c>
      <c r="D22" s="67">
        <f>'Business Plan &amp; DCF'!$C$40+IF(Inputs!$C$69=0,0,Synergies!$C$20/Inputs!$C$69)*D$17-$B22</f>
        <v>-1501.1254609486314</v>
      </c>
      <c r="E22" s="68">
        <f>'Business Plan &amp; DCF'!$C$40+IF(Inputs!$C$69=0,0,Synergies!$C$20/Inputs!$C$69)*E$17-$B22</f>
        <v>-1071.5580643353683</v>
      </c>
      <c r="F22" s="67">
        <f>'Business Plan &amp; DCF'!$C$40+IF(Inputs!$C$69=0,0,Synergies!$C$20/Inputs!$C$69)*F$17-$B22</f>
        <v>-641.99066772210517</v>
      </c>
      <c r="G22" s="67">
        <f>'Business Plan &amp; DCF'!$C$40+IF(Inputs!$C$69=0,0,Synergies!$C$20/Inputs!$C$69)*G$17-$B22</f>
        <v>-212.42327110884162</v>
      </c>
    </row>
    <row r="23" spans="2:10" x14ac:dyDescent="0.2">
      <c r="B23" s="66">
        <v>5500</v>
      </c>
      <c r="C23" s="67">
        <f>'Business Plan &amp; DCF'!$C$40+IF(Inputs!$C$69=0,0,Synergies!$C$20/Inputs!$C$69)*C$17-$B23</f>
        <v>-2330.6928575618945</v>
      </c>
      <c r="D23" s="67">
        <f>'Business Plan &amp; DCF'!$C$40+IF(Inputs!$C$69=0,0,Synergies!$C$20/Inputs!$C$69)*D$17-$B23</f>
        <v>-1901.1254609486314</v>
      </c>
      <c r="E23" s="67">
        <f>'Business Plan &amp; DCF'!$C$40+IF(Inputs!$C$69=0,0,Synergies!$C$20/Inputs!$C$69)*E$17-$B23</f>
        <v>-1471.5580643353683</v>
      </c>
      <c r="F23" s="67">
        <f>'Business Plan &amp; DCF'!$C$40+IF(Inputs!$C$69=0,0,Synergies!$C$20/Inputs!$C$69)*F$17-$B23</f>
        <v>-1041.9906677221052</v>
      </c>
      <c r="G23" s="67">
        <f>'Business Plan &amp; DCF'!$C$40+IF(Inputs!$C$69=0,0,Synergies!$C$20/Inputs!$C$69)*G$17-$B23</f>
        <v>-612.42327110884162</v>
      </c>
    </row>
    <row r="25" spans="2:10" ht="28" x14ac:dyDescent="0.2">
      <c r="B25" s="4" t="s">
        <v>303</v>
      </c>
      <c r="C25" s="5"/>
      <c r="D25" s="5"/>
      <c r="E25" s="5"/>
      <c r="F25" s="5"/>
      <c r="G25" s="5"/>
      <c r="J25" s="42" t="s">
        <v>304</v>
      </c>
    </row>
    <row r="26" spans="2:10" x14ac:dyDescent="0.2">
      <c r="B26" s="60" t="s">
        <v>305</v>
      </c>
      <c r="C26" s="69">
        <v>7.0000000000000007E-2</v>
      </c>
      <c r="D26" s="69">
        <v>7.7499999999999999E-2</v>
      </c>
      <c r="E26" s="69">
        <v>8.5000000000000006E-2</v>
      </c>
      <c r="F26" s="69">
        <v>0.09</v>
      </c>
    </row>
    <row r="27" spans="2:10" x14ac:dyDescent="0.2">
      <c r="B27" s="62">
        <v>0</v>
      </c>
      <c r="C27" s="70">
        <f>(Accretion!$E$16+Accretion!$E$17+Accretion!$E$18-Inputs!$C$6*(1-$B27)*C$26*(1-Inputs!$C$30)+Accretion!$E$20)/(Inputs!$C$28+Inputs!$C$6*$B27/Inputs!$C$34)/Accretion!$E$26-1</f>
        <v>-0.1042454689879504</v>
      </c>
      <c r="D27" s="70">
        <f>(Accretion!$E$16+Accretion!$E$17+Accretion!$E$18-Inputs!$C$6*(1-$B27)*D$26*(1-Inputs!$C$30)+Accretion!$E$20)/(Inputs!$C$28+Inputs!$C$6*$B27/Inputs!$C$34)/Accretion!$E$26-1</f>
        <v>-0.12485579618618947</v>
      </c>
      <c r="E27" s="70">
        <f>(Accretion!$E$16+Accretion!$E$17+Accretion!$E$18-Inputs!$C$6*(1-$B27)*E$26*(1-Inputs!$C$30)+Accretion!$E$20)/(Inputs!$C$28+Inputs!$C$6*$B27/Inputs!$C$34)/Accretion!$E$26-1</f>
        <v>-0.14546612338442866</v>
      </c>
      <c r="F27" s="70">
        <f>(Accretion!$E$16+Accretion!$E$17+Accretion!$E$18-Inputs!$C$6*(1-$B27)*F$26*(1-Inputs!$C$30)+Accretion!$E$20)/(Inputs!$C$28+Inputs!$C$6*$B27/Inputs!$C$34)/Accretion!$E$26-1</f>
        <v>-0.15920634151658808</v>
      </c>
    </row>
    <row r="28" spans="2:10" x14ac:dyDescent="0.2">
      <c r="B28" s="62">
        <v>0.25</v>
      </c>
      <c r="C28" s="70">
        <f>(Accretion!$E$16+Accretion!$E$17+Accretion!$E$18-Inputs!$C$6*(1-$B28)*C$26*(1-Inputs!$C$30)+Accretion!$E$20)/(Inputs!$C$28+Inputs!$C$6*$B28/Inputs!$C$34)/Accretion!$E$26-1</f>
        <v>-7.1365340235581054E-2</v>
      </c>
      <c r="D28" s="70">
        <f>(Accretion!$E$16+Accretion!$E$17+Accretion!$E$18-Inputs!$C$6*(1-$B28)*D$26*(1-Inputs!$C$30)+Accretion!$E$20)/(Inputs!$C$28+Inputs!$C$6*$B28/Inputs!$C$34)/Accretion!$E$26-1</f>
        <v>-8.6573974768233142E-2</v>
      </c>
      <c r="E28" s="70">
        <f>(Accretion!$E$16+Accretion!$E$17+Accretion!$E$18-Inputs!$C$6*(1-$B28)*E$26*(1-Inputs!$C$30)+Accretion!$E$20)/(Inputs!$C$28+Inputs!$C$6*$B28/Inputs!$C$34)/Accretion!$E$26-1</f>
        <v>-0.10178260930088512</v>
      </c>
      <c r="F28" s="70">
        <f>(Accretion!$E$16+Accretion!$E$17+Accretion!$E$18-Inputs!$C$6*(1-$B28)*F$26*(1-Inputs!$C$30)+Accretion!$E$20)/(Inputs!$C$28+Inputs!$C$6*$B28/Inputs!$C$34)/Accretion!$E$26-1</f>
        <v>-0.11192169898931981</v>
      </c>
    </row>
    <row r="29" spans="2:10" x14ac:dyDescent="0.2">
      <c r="B29" s="62">
        <v>0.43</v>
      </c>
      <c r="C29" s="70">
        <f>(Accretion!$E$16+Accretion!$E$17+Accretion!$E$18-Inputs!$C$6*(1-$B29)*C$26*(1-Inputs!$C$30)+Accretion!$E$20)/(Inputs!$C$28+Inputs!$C$6*$B29/Inputs!$C$34)/Accretion!$E$26-1</f>
        <v>-4.8340327918917736E-2</v>
      </c>
      <c r="D29" s="70">
        <f>(Accretion!$E$16+Accretion!$E$17+Accretion!$E$18-Inputs!$C$6*(1-$B29)*D$26*(1-Inputs!$C$30)+Accretion!$E$20)/(Inputs!$C$28+Inputs!$C$6*$B29/Inputs!$C$34)/Accretion!$E$26-1</f>
        <v>-5.9766311808907346E-2</v>
      </c>
      <c r="E29" s="70">
        <f>(Accretion!$E$16+Accretion!$E$17+Accretion!$E$18-Inputs!$C$6*(1-$B29)*E$26*(1-Inputs!$C$30)+Accretion!$E$20)/(Inputs!$C$28+Inputs!$C$6*$B29/Inputs!$C$34)/Accretion!$E$26-1</f>
        <v>-7.1192295698896735E-2</v>
      </c>
      <c r="F29" s="70">
        <f>(Accretion!$E$16+Accretion!$E$17+Accretion!$E$18-Inputs!$C$6*(1-$B29)*F$26*(1-Inputs!$C$30)+Accretion!$E$20)/(Inputs!$C$28+Inputs!$C$6*$B29/Inputs!$C$34)/Accretion!$E$26-1</f>
        <v>-7.8809618292223216E-2</v>
      </c>
    </row>
    <row r="30" spans="2:10" x14ac:dyDescent="0.2">
      <c r="B30" s="62">
        <v>0.6</v>
      </c>
      <c r="C30" s="70">
        <f>(Accretion!$E$16+Accretion!$E$17+Accretion!$E$18-Inputs!$C$6*(1-$B30)*C$26*(1-Inputs!$C$30)+Accretion!$E$20)/(Inputs!$C$28+Inputs!$C$6*$B30/Inputs!$C$34)/Accretion!$E$26-1</f>
        <v>-2.707428407850565E-2</v>
      </c>
      <c r="D30" s="70">
        <f>(Accretion!$E$16+Accretion!$E$17+Accretion!$E$18-Inputs!$C$6*(1-$B30)*D$26*(1-Inputs!$C$30)+Accretion!$E$20)/(Inputs!$C$28+Inputs!$C$6*$B30/Inputs!$C$34)/Accretion!$E$26-1</f>
        <v>-3.5006588430195773E-2</v>
      </c>
      <c r="E30" s="70">
        <f>(Accretion!$E$16+Accretion!$E$17+Accretion!$E$18-Inputs!$C$6*(1-$B30)*E$26*(1-Inputs!$C$30)+Accretion!$E$20)/(Inputs!$C$28+Inputs!$C$6*$B30/Inputs!$C$34)/Accretion!$E$26-1</f>
        <v>-4.2938892781885674E-2</v>
      </c>
      <c r="F30" s="70">
        <f>(Accretion!$E$16+Accretion!$E$17+Accretion!$E$18-Inputs!$C$6*(1-$B30)*F$26*(1-Inputs!$C$30)+Accretion!$E$20)/(Inputs!$C$28+Inputs!$C$6*$B30/Inputs!$C$34)/Accretion!$E$26-1</f>
        <v>-4.8227095683012422E-2</v>
      </c>
    </row>
    <row r="31" spans="2:10" x14ac:dyDescent="0.2">
      <c r="B31" s="62">
        <v>1</v>
      </c>
      <c r="C31" s="70">
        <f>(Accretion!$E$16+Accretion!$E$17+Accretion!$E$18-Inputs!$C$6*(1-$B31)*C$26*(1-Inputs!$C$30)+Accretion!$E$20)/(Inputs!$C$28+Inputs!$C$6*$B31/Inputs!$C$34)/Accretion!$E$26-1</f>
        <v>2.1209689952104149E-2</v>
      </c>
      <c r="D31" s="70">
        <f>(Accretion!$E$16+Accretion!$E$17+Accretion!$E$18-Inputs!$C$6*(1-$B31)*D$26*(1-Inputs!$C$30)+Accretion!$E$20)/(Inputs!$C$28+Inputs!$C$6*$B31/Inputs!$C$34)/Accretion!$E$26-1</f>
        <v>2.1209689952104149E-2</v>
      </c>
      <c r="E31" s="70">
        <f>(Accretion!$E$16+Accretion!$E$17+Accretion!$E$18-Inputs!$C$6*(1-$B31)*E$26*(1-Inputs!$C$30)+Accretion!$E$20)/(Inputs!$C$28+Inputs!$C$6*$B31/Inputs!$C$34)/Accretion!$E$26-1</f>
        <v>2.1209689952104149E-2</v>
      </c>
      <c r="F31" s="70">
        <f>(Accretion!$E$16+Accretion!$E$17+Accretion!$E$18-Inputs!$C$6*(1-$B31)*F$26*(1-Inputs!$C$30)+Accretion!$E$20)/(Inputs!$C$28+Inputs!$C$6*$B31/Inputs!$C$34)/Accretion!$E$26-1</f>
        <v>2.1209689952104149E-2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0"/>
  <sheetViews>
    <sheetView showGridLines="0" tabSelected="1" zoomScaleNormal="100" workbookViewId="0">
      <selection activeCell="H6" sqref="H6"/>
    </sheetView>
  </sheetViews>
  <sheetFormatPr baseColWidth="10" defaultColWidth="8.6640625" defaultRowHeight="15" x14ac:dyDescent="0.2"/>
  <cols>
    <col min="1" max="1" width="2" customWidth="1"/>
    <col min="2" max="2" width="48" customWidth="1"/>
    <col min="3" max="5" width="12" customWidth="1"/>
    <col min="6" max="6" width="4" customWidth="1"/>
    <col min="7" max="7" width="40" customWidth="1"/>
  </cols>
  <sheetData>
    <row r="2" spans="2:7" ht="18" x14ac:dyDescent="0.2">
      <c r="B2" s="21" t="s">
        <v>306</v>
      </c>
    </row>
    <row r="3" spans="2:7" x14ac:dyDescent="0.2">
      <c r="B3" s="73" t="s">
        <v>307</v>
      </c>
    </row>
    <row r="5" spans="2:7" x14ac:dyDescent="0.2">
      <c r="B5" s="35" t="s">
        <v>308</v>
      </c>
      <c r="C5" s="52" t="s">
        <v>309</v>
      </c>
      <c r="D5" s="52" t="s">
        <v>310</v>
      </c>
      <c r="E5" s="52" t="s">
        <v>311</v>
      </c>
    </row>
    <row r="6" spans="2:7" ht="28" x14ac:dyDescent="0.2">
      <c r="B6" s="17" t="s">
        <v>312</v>
      </c>
      <c r="C6" s="11">
        <f>'Business Plan &amp; DCF'!C58</f>
        <v>2274.4521997203974</v>
      </c>
      <c r="D6" s="11">
        <f>'Business Plan &amp; DCF'!C22</f>
        <v>5595.106149150035</v>
      </c>
      <c r="E6" s="47">
        <f>D6-C6</f>
        <v>3320.6539494296376</v>
      </c>
      <c r="G6" s="42" t="s">
        <v>313</v>
      </c>
    </row>
    <row r="7" spans="2:7" x14ac:dyDescent="0.2">
      <c r="B7" s="17" t="s">
        <v>314</v>
      </c>
      <c r="C7" s="11">
        <f>'Business Plan &amp; DCF'!C40</f>
        <v>3169.3071424381055</v>
      </c>
      <c r="D7" s="11">
        <f>'Business Plan &amp; DCF'!C40+Synergies!C20</f>
        <v>4028.4419356646317</v>
      </c>
      <c r="E7" s="47">
        <f>D7-C7</f>
        <v>859.1347932265262</v>
      </c>
    </row>
    <row r="8" spans="2:7" x14ac:dyDescent="0.2">
      <c r="B8" s="17" t="s">
        <v>315</v>
      </c>
      <c r="C8" s="11">
        <f>Precedents!F18</f>
        <v>2881.4274746814763</v>
      </c>
      <c r="D8" s="11">
        <f>Precedents!H18</f>
        <v>4524.8040937981132</v>
      </c>
      <c r="E8" s="47">
        <f>D8-C8</f>
        <v>1643.3766191166369</v>
      </c>
    </row>
    <row r="9" spans="2:7" x14ac:dyDescent="0.2">
      <c r="B9" s="17" t="s">
        <v>316</v>
      </c>
      <c r="C9" s="11">
        <f>Precedents!F24*0.995</f>
        <v>4907.6022622648952</v>
      </c>
      <c r="D9" s="11">
        <f>Precedents!F24*1.005</f>
        <v>4956.9248980665525</v>
      </c>
      <c r="E9" s="47">
        <f>D9-C9</f>
        <v>49.32263580165727</v>
      </c>
    </row>
    <row r="10" spans="2:7" x14ac:dyDescent="0.2">
      <c r="B10" s="17" t="s">
        <v>317</v>
      </c>
      <c r="C10" s="11">
        <f>Inputs!$C$6*0.995</f>
        <v>5074.5</v>
      </c>
      <c r="D10" s="11">
        <f>Inputs!$C$6*1.005</f>
        <v>5125.4999999999991</v>
      </c>
      <c r="E10" s="47">
        <f>D10-C10</f>
        <v>50.999999999999091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15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70" customWidth="1"/>
    <col min="4" max="4" width="95" customWidth="1"/>
  </cols>
  <sheetData>
    <row r="2" spans="2:4" ht="18" x14ac:dyDescent="0.2">
      <c r="B2" s="21" t="s">
        <v>318</v>
      </c>
    </row>
    <row r="3" spans="2:4" x14ac:dyDescent="0.2">
      <c r="B3" s="73" t="s">
        <v>319</v>
      </c>
    </row>
    <row r="5" spans="2:4" x14ac:dyDescent="0.2">
      <c r="B5" s="35" t="s">
        <v>320</v>
      </c>
      <c r="C5" s="35" t="s">
        <v>321</v>
      </c>
      <c r="D5" s="35" t="s">
        <v>322</v>
      </c>
    </row>
    <row r="6" spans="2:4" x14ac:dyDescent="0.2">
      <c r="B6" s="17" t="s">
        <v>56</v>
      </c>
      <c r="C6" s="17" t="s">
        <v>323</v>
      </c>
      <c r="D6" s="71" t="s">
        <v>324</v>
      </c>
    </row>
    <row r="7" spans="2:4" x14ac:dyDescent="0.2">
      <c r="B7" s="17" t="s">
        <v>42</v>
      </c>
      <c r="C7" s="17" t="s">
        <v>325</v>
      </c>
      <c r="D7" s="71" t="s">
        <v>326</v>
      </c>
    </row>
    <row r="8" spans="2:4" x14ac:dyDescent="0.2">
      <c r="B8" s="17" t="s">
        <v>38</v>
      </c>
      <c r="C8" s="17" t="s">
        <v>327</v>
      </c>
      <c r="D8" s="71" t="s">
        <v>328</v>
      </c>
    </row>
    <row r="9" spans="2:4" x14ac:dyDescent="0.2">
      <c r="B9" s="17" t="s">
        <v>329</v>
      </c>
      <c r="C9" s="17" t="s">
        <v>330</v>
      </c>
      <c r="D9" s="71" t="s">
        <v>331</v>
      </c>
    </row>
    <row r="10" spans="2:4" x14ac:dyDescent="0.2">
      <c r="B10" s="17" t="s">
        <v>64</v>
      </c>
      <c r="C10" s="17" t="s">
        <v>332</v>
      </c>
      <c r="D10" s="71" t="s">
        <v>333</v>
      </c>
    </row>
    <row r="11" spans="2:4" x14ac:dyDescent="0.2">
      <c r="B11" s="17" t="s">
        <v>67</v>
      </c>
      <c r="C11" s="17" t="s">
        <v>334</v>
      </c>
      <c r="D11" s="71" t="s">
        <v>335</v>
      </c>
    </row>
    <row r="12" spans="2:4" x14ac:dyDescent="0.2">
      <c r="B12" s="17" t="s">
        <v>44</v>
      </c>
      <c r="C12" s="17" t="s">
        <v>336</v>
      </c>
      <c r="D12" s="71" t="s">
        <v>337</v>
      </c>
    </row>
    <row r="13" spans="2:4" x14ac:dyDescent="0.2">
      <c r="B13" s="17" t="s">
        <v>338</v>
      </c>
      <c r="C13" s="17" t="s">
        <v>339</v>
      </c>
      <c r="D13" s="71" t="s">
        <v>340</v>
      </c>
    </row>
    <row r="14" spans="2:4" x14ac:dyDescent="0.2">
      <c r="B14" s="17" t="s">
        <v>341</v>
      </c>
      <c r="C14" s="17" t="s">
        <v>342</v>
      </c>
      <c r="D14" s="71" t="s">
        <v>343</v>
      </c>
    </row>
    <row r="15" spans="2:4" x14ac:dyDescent="0.2">
      <c r="B15" s="17" t="s">
        <v>344</v>
      </c>
      <c r="C15" s="17" t="s">
        <v>345</v>
      </c>
      <c r="D15" s="71" t="s">
        <v>346</v>
      </c>
    </row>
  </sheetData>
  <hyperlinks>
    <hyperlink ref="D6" r:id="rId1" xr:uid="{00000000-0004-0000-0900-000000000000}"/>
    <hyperlink ref="D7" r:id="rId2" xr:uid="{00000000-0004-0000-0900-000001000000}"/>
    <hyperlink ref="D8" r:id="rId3" xr:uid="{00000000-0004-0000-0900-000002000000}"/>
    <hyperlink ref="D9" r:id="rId4" xr:uid="{00000000-0004-0000-0900-000003000000}"/>
    <hyperlink ref="D10" r:id="rId5" xr:uid="{00000000-0004-0000-0900-000004000000}"/>
    <hyperlink ref="D11" r:id="rId6" xr:uid="{00000000-0004-0000-0900-000005000000}"/>
    <hyperlink ref="D12" r:id="rId7" xr:uid="{00000000-0004-0000-0900-000006000000}"/>
    <hyperlink ref="D13" r:id="rId8" xr:uid="{00000000-0004-0000-0900-000007000000}"/>
    <hyperlink ref="D14" r:id="rId9" xr:uid="{00000000-0004-0000-0900-000008000000}"/>
    <hyperlink ref="D15" r:id="rId10" xr:uid="{00000000-0004-0000-09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O76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3" width="10" customWidth="1"/>
    <col min="4" max="15" width="9" customWidth="1"/>
  </cols>
  <sheetData>
    <row r="2" spans="2:15" ht="18" x14ac:dyDescent="0.2">
      <c r="B2" s="21" t="s">
        <v>347</v>
      </c>
    </row>
    <row r="3" spans="2:15" x14ac:dyDescent="0.2">
      <c r="B3" s="22" t="s">
        <v>348</v>
      </c>
    </row>
    <row r="4" spans="2:15" x14ac:dyDescent="0.2">
      <c r="B4" s="54" t="s">
        <v>149</v>
      </c>
      <c r="C4" s="54" t="s">
        <v>349</v>
      </c>
      <c r="D4" s="33" t="s">
        <v>186</v>
      </c>
      <c r="E4" s="33" t="s">
        <v>107</v>
      </c>
      <c r="F4" s="33" t="s">
        <v>108</v>
      </c>
      <c r="G4" s="33" t="s">
        <v>109</v>
      </c>
      <c r="H4" s="33" t="s">
        <v>110</v>
      </c>
      <c r="I4" s="33" t="s">
        <v>111</v>
      </c>
      <c r="J4" s="33" t="s">
        <v>187</v>
      </c>
      <c r="K4" s="33" t="s">
        <v>188</v>
      </c>
      <c r="L4" s="33" t="s">
        <v>189</v>
      </c>
      <c r="M4" s="33" t="s">
        <v>190</v>
      </c>
      <c r="N4" s="33" t="s">
        <v>191</v>
      </c>
      <c r="O4" s="54" t="s">
        <v>229</v>
      </c>
    </row>
    <row r="5" spans="2:15" x14ac:dyDescent="0.2">
      <c r="B5" s="72">
        <f>Sensitivity!$B$7</f>
        <v>0.06</v>
      </c>
      <c r="C5" s="72">
        <f>Sensitivity!$C$6</f>
        <v>0.18</v>
      </c>
      <c r="D5" s="11">
        <f>Inputs!$C$9</f>
        <v>750</v>
      </c>
      <c r="E5" s="47">
        <f t="shared" ref="E5:N5" si="0">D5*(1+E6)</f>
        <v>795</v>
      </c>
      <c r="F5" s="47">
        <f t="shared" si="0"/>
        <v>842.7</v>
      </c>
      <c r="G5" s="47">
        <f t="shared" si="0"/>
        <v>893.26200000000006</v>
      </c>
      <c r="H5" s="47">
        <f t="shared" si="0"/>
        <v>946.85772000000009</v>
      </c>
      <c r="I5" s="47">
        <f t="shared" si="0"/>
        <v>1003.6691832000001</v>
      </c>
      <c r="J5" s="47">
        <f t="shared" si="0"/>
        <v>1062.8856650088001</v>
      </c>
      <c r="K5" s="47">
        <f t="shared" si="0"/>
        <v>1124.5330335793105</v>
      </c>
      <c r="L5" s="47">
        <f t="shared" si="0"/>
        <v>1188.6314164933312</v>
      </c>
      <c r="M5" s="47">
        <f t="shared" si="0"/>
        <v>1255.1947758169579</v>
      </c>
      <c r="N5" s="47">
        <f t="shared" si="0"/>
        <v>1324.2304884868904</v>
      </c>
      <c r="O5" s="47">
        <f>E7/(1+'Business Plan &amp; DCF'!$C$6)^1+F7/(1+'Business Plan &amp; DCF'!$C$6)^2+G7/(1+'Business Plan &amp; DCF'!$C$6)^3+H7/(1+'Business Plan &amp; DCF'!$C$6)^4+I7/(1+'Business Plan &amp; DCF'!$C$6)^5+J7/(1+'Business Plan &amp; DCF'!$C$6)^6+K7/(1+'Business Plan &amp; DCF'!$C$6)^7+L7/(1+'Business Plan &amp; DCF'!$C$6)^8+M7/(1+'Business Plan &amp; DCF'!$C$6)^9+N7/(1+'Business Plan &amp; DCF'!$C$6)^10+N7*(1+'Business Plan &amp; DCF'!$C$7)/('Business Plan &amp; DCF'!$C$6-'Business Plan &amp; DCF'!$C$7)/(1+'Business Plan &amp; DCF'!$C$6)^10</f>
        <v>1687.3514456592379</v>
      </c>
    </row>
    <row r="6" spans="2:15" x14ac:dyDescent="0.2">
      <c r="E6" s="38">
        <f>$B$5</f>
        <v>0.06</v>
      </c>
      <c r="F6" s="38">
        <f>$B$5</f>
        <v>0.06</v>
      </c>
      <c r="G6" s="38">
        <f>$B$5</f>
        <v>0.06</v>
      </c>
      <c r="H6" s="38">
        <f>$B$5</f>
        <v>0.06</v>
      </c>
      <c r="I6" s="38">
        <f>$B$5</f>
        <v>0.06</v>
      </c>
      <c r="J6" s="38">
        <f>I6+('Business Plan &amp; DCF'!$C$7-$B$5)/5</f>
        <v>5.8999999999999997E-2</v>
      </c>
      <c r="K6" s="38">
        <f>J6+('Business Plan &amp; DCF'!$C$7-$B$5)/5</f>
        <v>5.7999999999999996E-2</v>
      </c>
      <c r="L6" s="38">
        <f>K6+('Business Plan &amp; DCF'!$C$7-$B$5)/5</f>
        <v>5.6999999999999995E-2</v>
      </c>
      <c r="M6" s="38">
        <f>L6+('Business Plan &amp; DCF'!$C$7-$B$5)/5</f>
        <v>5.5999999999999994E-2</v>
      </c>
      <c r="N6" s="38">
        <f>M6+('Business Plan &amp; DCF'!$C$7-$B$5)/5</f>
        <v>5.4999999999999993E-2</v>
      </c>
    </row>
    <row r="7" spans="2:15" x14ac:dyDescent="0.2">
      <c r="E7" s="47">
        <f>(E5*$C$5-E5*Inputs!$C$47)*(1-Inputs!$C$30)+E5*Inputs!$C$47-E5*Inputs!$C$48-(E5-D5)*Inputs!$C$49</f>
        <v>82.05</v>
      </c>
      <c r="F7" s="47">
        <f>(F5*$C$5-F5*Inputs!$C$47)*(1-Inputs!$C$30)+F5*Inputs!$C$47-F5*Inputs!$C$48-(F5-E5)*Inputs!$C$49</f>
        <v>86.972999999999999</v>
      </c>
      <c r="G7" s="47">
        <f>(G5*$C$5-G5*Inputs!$C$47)*(1-Inputs!$C$30)+G5*Inputs!$C$47-G5*Inputs!$C$48-(G5-F5)*Inputs!$C$49</f>
        <v>92.191379999999995</v>
      </c>
      <c r="H7" s="47">
        <f>(H5*$C$5-H5*Inputs!$C$47)*(1-Inputs!$C$30)+H5*Inputs!$C$47-H5*Inputs!$C$48-(H5-G5)*Inputs!$C$49</f>
        <v>97.722862800000016</v>
      </c>
      <c r="I7" s="47">
        <f>(I5*$C$5-I5*Inputs!$C$47)*(1-Inputs!$C$30)+I5*Inputs!$C$47-I5*Inputs!$C$48-(I5-H5)*Inputs!$C$49</f>
        <v>103.58623456799999</v>
      </c>
      <c r="J7" s="47">
        <f>(J5*$C$5-J5*Inputs!$C$47)*(1-Inputs!$C$30)+J5*Inputs!$C$47-J5*Inputs!$C$48-(J5-I5)*Inputs!$C$49</f>
        <v>109.81144533391202</v>
      </c>
      <c r="K7" s="47">
        <f>(K5*$C$5-K5*Inputs!$C$47)*(1-Inputs!$C$30)+K5*Inputs!$C$47-K5*Inputs!$C$48-(K5-J5)*Inputs!$C$49</f>
        <v>116.3009494652629</v>
      </c>
      <c r="L7" s="47">
        <f>(L5*$C$5-L5*Inputs!$C$47)*(1-Inputs!$C$30)+L5*Inputs!$C$47-L5*Inputs!$C$48-(L5-K5)*Inputs!$C$49</f>
        <v>123.05764986458395</v>
      </c>
      <c r="M7" s="47">
        <f>(M5*$C$5-M5*Inputs!$C$47)*(1-Inputs!$C$30)+M5*Inputs!$C$47-M5*Inputs!$C$48-(M5-L5)*Inputs!$C$49</f>
        <v>130.0838222210302</v>
      </c>
      <c r="N7" s="47">
        <f>(N5*$C$5-N5*Inputs!$C$47)*(1-Inputs!$C$30)+N5*Inputs!$C$47-N5*Inputs!$C$48-(N5-M5)*Inputs!$C$49</f>
        <v>137.38106821316606</v>
      </c>
    </row>
    <row r="8" spans="2:15" x14ac:dyDescent="0.2">
      <c r="B8" s="72">
        <f>Sensitivity!$B$7</f>
        <v>0.06</v>
      </c>
      <c r="C8" s="72">
        <f>Sensitivity!$D$6</f>
        <v>0.2</v>
      </c>
      <c r="D8" s="11">
        <f>Inputs!$C$9</f>
        <v>750</v>
      </c>
      <c r="E8" s="47">
        <f t="shared" ref="E8:N8" si="1">D8*(1+E9)</f>
        <v>795</v>
      </c>
      <c r="F8" s="47">
        <f t="shared" si="1"/>
        <v>842.7</v>
      </c>
      <c r="G8" s="47">
        <f t="shared" si="1"/>
        <v>893.26200000000006</v>
      </c>
      <c r="H8" s="47">
        <f t="shared" si="1"/>
        <v>946.85772000000009</v>
      </c>
      <c r="I8" s="47">
        <f t="shared" si="1"/>
        <v>1003.6691832000001</v>
      </c>
      <c r="J8" s="47">
        <f t="shared" si="1"/>
        <v>1062.8856650088001</v>
      </c>
      <c r="K8" s="47">
        <f t="shared" si="1"/>
        <v>1124.5330335793105</v>
      </c>
      <c r="L8" s="47">
        <f t="shared" si="1"/>
        <v>1188.6314164933312</v>
      </c>
      <c r="M8" s="47">
        <f t="shared" si="1"/>
        <v>1255.1947758169579</v>
      </c>
      <c r="N8" s="47">
        <f t="shared" si="1"/>
        <v>1324.2304884868904</v>
      </c>
      <c r="O8" s="47">
        <f>E10/(1+'Business Plan &amp; DCF'!$C$6)^1+F10/(1+'Business Plan &amp; DCF'!$C$6)^2+G10/(1+'Business Plan &amp; DCF'!$C$6)^3+H10/(1+'Business Plan &amp; DCF'!$C$6)^4+I10/(1+'Business Plan &amp; DCF'!$C$6)^5+J10/(1+'Business Plan &amp; DCF'!$C$6)^6+K10/(1+'Business Plan &amp; DCF'!$C$6)^7+L10/(1+'Business Plan &amp; DCF'!$C$6)^8+M10/(1+'Business Plan &amp; DCF'!$C$6)^9+N10/(1+'Business Plan &amp; DCF'!$C$6)^10+N10*(1+'Business Plan &amp; DCF'!$C$7)/('Business Plan &amp; DCF'!$C$6-'Business Plan &amp; DCF'!$C$7)/(1+'Business Plan &amp; DCF'!$C$6)^10</f>
        <v>1931.6639762861482</v>
      </c>
    </row>
    <row r="9" spans="2:15" x14ac:dyDescent="0.2">
      <c r="E9" s="38">
        <f>$B$8</f>
        <v>0.06</v>
      </c>
      <c r="F9" s="38">
        <f>$B$8</f>
        <v>0.06</v>
      </c>
      <c r="G9" s="38">
        <f>$B$8</f>
        <v>0.06</v>
      </c>
      <c r="H9" s="38">
        <f>$B$8</f>
        <v>0.06</v>
      </c>
      <c r="I9" s="38">
        <f>$B$8</f>
        <v>0.06</v>
      </c>
      <c r="J9" s="38">
        <f>I9+('Business Plan &amp; DCF'!$C$7-$B$8)/5</f>
        <v>5.8999999999999997E-2</v>
      </c>
      <c r="K9" s="38">
        <f>J9+('Business Plan &amp; DCF'!$C$7-$B$8)/5</f>
        <v>5.7999999999999996E-2</v>
      </c>
      <c r="L9" s="38">
        <f>K9+('Business Plan &amp; DCF'!$C$7-$B$8)/5</f>
        <v>5.6999999999999995E-2</v>
      </c>
      <c r="M9" s="38">
        <f>L9+('Business Plan &amp; DCF'!$C$7-$B$8)/5</f>
        <v>5.5999999999999994E-2</v>
      </c>
      <c r="N9" s="38">
        <f>M9+('Business Plan &amp; DCF'!$C$7-$B$8)/5</f>
        <v>5.4999999999999993E-2</v>
      </c>
    </row>
    <row r="10" spans="2:15" x14ac:dyDescent="0.2">
      <c r="E10" s="47">
        <f>(E8*$C$8-E8*Inputs!$C$47)*(1-Inputs!$C$30)+E8*Inputs!$C$47-E8*Inputs!$C$48-(E8-D8)*Inputs!$C$49</f>
        <v>93.974999999999994</v>
      </c>
      <c r="F10" s="47">
        <f>(F8*$C$8-F8*Inputs!$C$47)*(1-Inputs!$C$30)+F8*Inputs!$C$47-F8*Inputs!$C$48-(F8-E8)*Inputs!$C$49</f>
        <v>99.613500000000002</v>
      </c>
      <c r="G10" s="47">
        <f>(G8*$C$8-G8*Inputs!$C$47)*(1-Inputs!$C$30)+G8*Inputs!$C$47-G8*Inputs!$C$48-(G8-F8)*Inputs!$C$49</f>
        <v>105.59031000000003</v>
      </c>
      <c r="H10" s="47">
        <f>(H8*$C$8-H8*Inputs!$C$47)*(1-Inputs!$C$30)+H8*Inputs!$C$47-H8*Inputs!$C$48-(H8-G8)*Inputs!$C$49</f>
        <v>111.92572860000003</v>
      </c>
      <c r="I10" s="47">
        <f>(I8*$C$8-I8*Inputs!$C$47)*(1-Inputs!$C$30)+I8*Inputs!$C$47-I8*Inputs!$C$48-(I8-H8)*Inputs!$C$49</f>
        <v>118.64127231600004</v>
      </c>
      <c r="J10" s="47">
        <f>(J8*$C$8-J8*Inputs!$C$47)*(1-Inputs!$C$30)+J8*Inputs!$C$47-J8*Inputs!$C$48-(J8-I8)*Inputs!$C$49</f>
        <v>125.75473030904402</v>
      </c>
      <c r="K10" s="47">
        <f>(K8*$C$8-K8*Inputs!$C$47)*(1-Inputs!$C$30)+K8*Inputs!$C$47-K8*Inputs!$C$48-(K8-J8)*Inputs!$C$49</f>
        <v>133.16894496895262</v>
      </c>
      <c r="L10" s="47">
        <f>(L8*$C$8-L8*Inputs!$C$47)*(1-Inputs!$C$30)+L8*Inputs!$C$47-L8*Inputs!$C$48-(L8-K8)*Inputs!$C$49</f>
        <v>140.88712111198396</v>
      </c>
      <c r="M10" s="47">
        <f>(M8*$C$8-M8*Inputs!$C$47)*(1-Inputs!$C$30)+M8*Inputs!$C$47-M8*Inputs!$C$48-(M8-L8)*Inputs!$C$49</f>
        <v>148.91174385828458</v>
      </c>
      <c r="N10" s="47">
        <f>(N8*$C$8-N8*Inputs!$C$47)*(1-Inputs!$C$30)+N8*Inputs!$C$47-N8*Inputs!$C$48-(N8-M8)*Inputs!$C$49</f>
        <v>157.2445255404694</v>
      </c>
    </row>
    <row r="11" spans="2:15" x14ac:dyDescent="0.2">
      <c r="B11" s="72">
        <f>Sensitivity!$B$7</f>
        <v>0.06</v>
      </c>
      <c r="C11" s="72">
        <f>Sensitivity!$E$6</f>
        <v>0.22</v>
      </c>
      <c r="D11" s="11">
        <f>Inputs!$C$9</f>
        <v>750</v>
      </c>
      <c r="E11" s="47">
        <f t="shared" ref="E11:N11" si="2">D11*(1+E12)</f>
        <v>795</v>
      </c>
      <c r="F11" s="47">
        <f t="shared" si="2"/>
        <v>842.7</v>
      </c>
      <c r="G11" s="47">
        <f t="shared" si="2"/>
        <v>893.26200000000006</v>
      </c>
      <c r="H11" s="47">
        <f t="shared" si="2"/>
        <v>946.85772000000009</v>
      </c>
      <c r="I11" s="47">
        <f t="shared" si="2"/>
        <v>1003.6691832000001</v>
      </c>
      <c r="J11" s="47">
        <f t="shared" si="2"/>
        <v>1062.8856650088001</v>
      </c>
      <c r="K11" s="47">
        <f t="shared" si="2"/>
        <v>1124.5330335793105</v>
      </c>
      <c r="L11" s="47">
        <f t="shared" si="2"/>
        <v>1188.6314164933312</v>
      </c>
      <c r="M11" s="47">
        <f t="shared" si="2"/>
        <v>1255.1947758169579</v>
      </c>
      <c r="N11" s="47">
        <f t="shared" si="2"/>
        <v>1324.2304884868904</v>
      </c>
      <c r="O11" s="47">
        <f>E13/(1+'Business Plan &amp; DCF'!$C$6)^1+F13/(1+'Business Plan &amp; DCF'!$C$6)^2+G13/(1+'Business Plan &amp; DCF'!$C$6)^3+H13/(1+'Business Plan &amp; DCF'!$C$6)^4+I13/(1+'Business Plan &amp; DCF'!$C$6)^5+J13/(1+'Business Plan &amp; DCF'!$C$6)^6+K13/(1+'Business Plan &amp; DCF'!$C$6)^7+L13/(1+'Business Plan &amp; DCF'!$C$6)^8+M13/(1+'Business Plan &amp; DCF'!$C$6)^9+N13/(1+'Business Plan &amp; DCF'!$C$6)^10+N13*(1+'Business Plan &amp; DCF'!$C$7)/('Business Plan &amp; DCF'!$C$6-'Business Plan &amp; DCF'!$C$7)/(1+'Business Plan &amp; DCF'!$C$6)^10</f>
        <v>2175.9765069130585</v>
      </c>
    </row>
    <row r="12" spans="2:15" x14ac:dyDescent="0.2">
      <c r="E12" s="38">
        <f>$B$11</f>
        <v>0.06</v>
      </c>
      <c r="F12" s="38">
        <f>$B$11</f>
        <v>0.06</v>
      </c>
      <c r="G12" s="38">
        <f>$B$11</f>
        <v>0.06</v>
      </c>
      <c r="H12" s="38">
        <f>$B$11</f>
        <v>0.06</v>
      </c>
      <c r="I12" s="38">
        <f>$B$11</f>
        <v>0.06</v>
      </c>
      <c r="J12" s="38">
        <f>I12+('Business Plan &amp; DCF'!$C$7-$B$11)/5</f>
        <v>5.8999999999999997E-2</v>
      </c>
      <c r="K12" s="38">
        <f>J12+('Business Plan &amp; DCF'!$C$7-$B$11)/5</f>
        <v>5.7999999999999996E-2</v>
      </c>
      <c r="L12" s="38">
        <f>K12+('Business Plan &amp; DCF'!$C$7-$B$11)/5</f>
        <v>5.6999999999999995E-2</v>
      </c>
      <c r="M12" s="38">
        <f>L12+('Business Plan &amp; DCF'!$C$7-$B$11)/5</f>
        <v>5.5999999999999994E-2</v>
      </c>
      <c r="N12" s="38">
        <f>M12+('Business Plan &amp; DCF'!$C$7-$B$11)/5</f>
        <v>5.4999999999999993E-2</v>
      </c>
    </row>
    <row r="13" spans="2:15" x14ac:dyDescent="0.2">
      <c r="E13" s="47">
        <f>(E11*$C$11-E11*Inputs!$C$47)*(1-Inputs!$C$30)+E11*Inputs!$C$47-E11*Inputs!$C$48-(E11-D11)*Inputs!$C$49</f>
        <v>105.9</v>
      </c>
      <c r="F13" s="47">
        <f>(F11*$C$11-F11*Inputs!$C$47)*(1-Inputs!$C$30)+F11*Inputs!$C$47-F11*Inputs!$C$48-(F11-E11)*Inputs!$C$49</f>
        <v>112.254</v>
      </c>
      <c r="G13" s="47">
        <f>(G11*$C$11-G11*Inputs!$C$47)*(1-Inputs!$C$30)+G11*Inputs!$C$47-G11*Inputs!$C$48-(G11-F11)*Inputs!$C$49</f>
        <v>118.98924000000001</v>
      </c>
      <c r="H13" s="47">
        <f>(H11*$C$11-H11*Inputs!$C$47)*(1-Inputs!$C$30)+H11*Inputs!$C$47-H11*Inputs!$C$48-(H11-G11)*Inputs!$C$49</f>
        <v>126.12859440000001</v>
      </c>
      <c r="I13" s="47">
        <f>(I11*$C$11-I11*Inputs!$C$47)*(1-Inputs!$C$30)+I11*Inputs!$C$47-I11*Inputs!$C$48-(I11-H11)*Inputs!$C$49</f>
        <v>133.69631006399999</v>
      </c>
      <c r="J13" s="47">
        <f>(J11*$C$11-J11*Inputs!$C$47)*(1-Inputs!$C$30)+J11*Inputs!$C$47-J11*Inputs!$C$48-(J11-I11)*Inputs!$C$49</f>
        <v>141.69801528417602</v>
      </c>
      <c r="K13" s="47">
        <f>(K11*$C$11-K11*Inputs!$C$47)*(1-Inputs!$C$30)+K11*Inputs!$C$47-K11*Inputs!$C$48-(K11-J11)*Inputs!$C$49</f>
        <v>150.03694047264221</v>
      </c>
      <c r="L13" s="47">
        <f>(L11*$C$11-L11*Inputs!$C$47)*(1-Inputs!$C$30)+L11*Inputs!$C$47-L11*Inputs!$C$48-(L11-K11)*Inputs!$C$49</f>
        <v>158.71659235938392</v>
      </c>
      <c r="M13" s="47">
        <f>(M11*$C$11-M11*Inputs!$C$47)*(1-Inputs!$C$30)+M11*Inputs!$C$47-M11*Inputs!$C$48-(M11-L11)*Inputs!$C$49</f>
        <v>167.7396654955389</v>
      </c>
      <c r="N13" s="47">
        <f>(N11*$C$11-N11*Inputs!$C$47)*(1-Inputs!$C$30)+N11*Inputs!$C$47-N11*Inputs!$C$48-(N11-M11)*Inputs!$C$49</f>
        <v>177.10798286777273</v>
      </c>
    </row>
    <row r="14" spans="2:15" x14ac:dyDescent="0.2">
      <c r="B14" s="72">
        <f>Sensitivity!$B$7</f>
        <v>0.06</v>
      </c>
      <c r="C14" s="72">
        <f>Sensitivity!$F$6</f>
        <v>0.24</v>
      </c>
      <c r="D14" s="11">
        <f>Inputs!$C$9</f>
        <v>750</v>
      </c>
      <c r="E14" s="47">
        <f t="shared" ref="E14:N14" si="3">D14*(1+E15)</f>
        <v>795</v>
      </c>
      <c r="F14" s="47">
        <f t="shared" si="3"/>
        <v>842.7</v>
      </c>
      <c r="G14" s="47">
        <f t="shared" si="3"/>
        <v>893.26200000000006</v>
      </c>
      <c r="H14" s="47">
        <f t="shared" si="3"/>
        <v>946.85772000000009</v>
      </c>
      <c r="I14" s="47">
        <f t="shared" si="3"/>
        <v>1003.6691832000001</v>
      </c>
      <c r="J14" s="47">
        <f t="shared" si="3"/>
        <v>1062.8856650088001</v>
      </c>
      <c r="K14" s="47">
        <f t="shared" si="3"/>
        <v>1124.5330335793105</v>
      </c>
      <c r="L14" s="47">
        <f t="shared" si="3"/>
        <v>1188.6314164933312</v>
      </c>
      <c r="M14" s="47">
        <f t="shared" si="3"/>
        <v>1255.1947758169579</v>
      </c>
      <c r="N14" s="47">
        <f t="shared" si="3"/>
        <v>1324.2304884868904</v>
      </c>
      <c r="O14" s="47">
        <f>E16/(1+'Business Plan &amp; DCF'!$C$6)^1+F16/(1+'Business Plan &amp; DCF'!$C$6)^2+G16/(1+'Business Plan &amp; DCF'!$C$6)^3+H16/(1+'Business Plan &amp; DCF'!$C$6)^4+I16/(1+'Business Plan &amp; DCF'!$C$6)^5+J16/(1+'Business Plan &amp; DCF'!$C$6)^6+K16/(1+'Business Plan &amp; DCF'!$C$6)^7+L16/(1+'Business Plan &amp; DCF'!$C$6)^8+M16/(1+'Business Plan &amp; DCF'!$C$6)^9+N16/(1+'Business Plan &amp; DCF'!$C$6)^10+N16*(1+'Business Plan &amp; DCF'!$C$7)/('Business Plan &amp; DCF'!$C$6-'Business Plan &amp; DCF'!$C$7)/(1+'Business Plan &amp; DCF'!$C$6)^10</f>
        <v>2420.2890375399688</v>
      </c>
    </row>
    <row r="15" spans="2:15" x14ac:dyDescent="0.2">
      <c r="E15" s="38">
        <f>$B$14</f>
        <v>0.06</v>
      </c>
      <c r="F15" s="38">
        <f>$B$14</f>
        <v>0.06</v>
      </c>
      <c r="G15" s="38">
        <f>$B$14</f>
        <v>0.06</v>
      </c>
      <c r="H15" s="38">
        <f>$B$14</f>
        <v>0.06</v>
      </c>
      <c r="I15" s="38">
        <f>$B$14</f>
        <v>0.06</v>
      </c>
      <c r="J15" s="38">
        <f>I15+('Business Plan &amp; DCF'!$C$7-$B$14)/5</f>
        <v>5.8999999999999997E-2</v>
      </c>
      <c r="K15" s="38">
        <f>J15+('Business Plan &amp; DCF'!$C$7-$B$14)/5</f>
        <v>5.7999999999999996E-2</v>
      </c>
      <c r="L15" s="38">
        <f>K15+('Business Plan &amp; DCF'!$C$7-$B$14)/5</f>
        <v>5.6999999999999995E-2</v>
      </c>
      <c r="M15" s="38">
        <f>L15+('Business Plan &amp; DCF'!$C$7-$B$14)/5</f>
        <v>5.5999999999999994E-2</v>
      </c>
      <c r="N15" s="38">
        <f>M15+('Business Plan &amp; DCF'!$C$7-$B$14)/5</f>
        <v>5.4999999999999993E-2</v>
      </c>
    </row>
    <row r="16" spans="2:15" x14ac:dyDescent="0.2">
      <c r="E16" s="47">
        <f>(E14*$C$14-E14*Inputs!$C$47)*(1-Inputs!$C$30)+E14*Inputs!$C$47-E14*Inputs!$C$48-(E14-D14)*Inputs!$C$49</f>
        <v>117.82499999999999</v>
      </c>
      <c r="F16" s="47">
        <f>(F14*$C$14-F14*Inputs!$C$47)*(1-Inputs!$C$30)+F14*Inputs!$C$47-F14*Inputs!$C$48-(F14-E14)*Inputs!$C$49</f>
        <v>124.89449999999998</v>
      </c>
      <c r="G16" s="47">
        <f>(G14*$C$14-G14*Inputs!$C$47)*(1-Inputs!$C$30)+G14*Inputs!$C$47-G14*Inputs!$C$48-(G14-F14)*Inputs!$C$49</f>
        <v>132.38816999999997</v>
      </c>
      <c r="H16" s="47">
        <f>(H14*$C$14-H14*Inputs!$C$47)*(1-Inputs!$C$30)+H14*Inputs!$C$47-H14*Inputs!$C$48-(H14-G14)*Inputs!$C$49</f>
        <v>140.33146020000001</v>
      </c>
      <c r="I16" s="47">
        <f>(I14*$C$14-I14*Inputs!$C$47)*(1-Inputs!$C$30)+I14*Inputs!$C$47-I14*Inputs!$C$48-(I14-H14)*Inputs!$C$49</f>
        <v>148.75134781200001</v>
      </c>
      <c r="J16" s="47">
        <f>(J14*$C$14-J14*Inputs!$C$47)*(1-Inputs!$C$30)+J14*Inputs!$C$47-J14*Inputs!$C$48-(J14-I14)*Inputs!$C$49</f>
        <v>157.641300259308</v>
      </c>
      <c r="K16" s="47">
        <f>(K14*$C$14-K14*Inputs!$C$47)*(1-Inputs!$C$30)+K14*Inputs!$C$47-K14*Inputs!$C$48-(K14-J14)*Inputs!$C$49</f>
        <v>166.90493597633187</v>
      </c>
      <c r="L16" s="47">
        <f>(L14*$C$14-L14*Inputs!$C$47)*(1-Inputs!$C$30)+L14*Inputs!$C$47-L14*Inputs!$C$48-(L14-K14)*Inputs!$C$49</f>
        <v>176.54606360678389</v>
      </c>
      <c r="M16" s="47">
        <f>(M14*$C$14-M14*Inputs!$C$47)*(1-Inputs!$C$30)+M14*Inputs!$C$47-M14*Inputs!$C$48-(M14-L14)*Inputs!$C$49</f>
        <v>186.56758713279328</v>
      </c>
      <c r="N16" s="47">
        <f>(N14*$C$14-N14*Inputs!$C$47)*(1-Inputs!$C$30)+N14*Inputs!$C$47-N14*Inputs!$C$48-(N14-M14)*Inputs!$C$49</f>
        <v>196.9714401950761</v>
      </c>
    </row>
    <row r="17" spans="2:15" x14ac:dyDescent="0.2">
      <c r="B17" s="72">
        <f>Sensitivity!$B$8</f>
        <v>0.1</v>
      </c>
      <c r="C17" s="72">
        <f>Sensitivity!$C$6</f>
        <v>0.18</v>
      </c>
      <c r="D17" s="11">
        <f>Inputs!$C$9</f>
        <v>750</v>
      </c>
      <c r="E17" s="47">
        <f t="shared" ref="E17:N17" si="4">D17*(1+E18)</f>
        <v>825.00000000000011</v>
      </c>
      <c r="F17" s="47">
        <f t="shared" si="4"/>
        <v>907.50000000000023</v>
      </c>
      <c r="G17" s="47">
        <f t="shared" si="4"/>
        <v>998.25000000000034</v>
      </c>
      <c r="H17" s="47">
        <f t="shared" si="4"/>
        <v>1098.0750000000005</v>
      </c>
      <c r="I17" s="47">
        <f t="shared" si="4"/>
        <v>1207.8825000000006</v>
      </c>
      <c r="J17" s="47">
        <f t="shared" si="4"/>
        <v>1317.7998075000007</v>
      </c>
      <c r="K17" s="47">
        <f t="shared" si="4"/>
        <v>1425.8593917150008</v>
      </c>
      <c r="L17" s="47">
        <f t="shared" si="4"/>
        <v>1529.9471273101958</v>
      </c>
      <c r="M17" s="47">
        <f t="shared" si="4"/>
        <v>1627.8637434580485</v>
      </c>
      <c r="N17" s="47">
        <f t="shared" si="4"/>
        <v>1717.3962493482411</v>
      </c>
      <c r="O17" s="47">
        <f>E19/(1+'Business Plan &amp; DCF'!$C$6)^1+F19/(1+'Business Plan &amp; DCF'!$C$6)^2+G19/(1+'Business Plan &amp; DCF'!$C$6)^3+H19/(1+'Business Plan &amp; DCF'!$C$6)^4+I19/(1+'Business Plan &amp; DCF'!$C$6)^5+J19/(1+'Business Plan &amp; DCF'!$C$6)^6+K19/(1+'Business Plan &amp; DCF'!$C$6)^7+L19/(1+'Business Plan &amp; DCF'!$C$6)^8+M19/(1+'Business Plan &amp; DCF'!$C$6)^9+N19/(1+'Business Plan &amp; DCF'!$C$6)^10+N19*(1+'Business Plan &amp; DCF'!$C$7)/('Business Plan &amp; DCF'!$C$6-'Business Plan &amp; DCF'!$C$7)/(1+'Business Plan &amp; DCF'!$C$6)^10</f>
        <v>2099.484285951964</v>
      </c>
    </row>
    <row r="18" spans="2:15" x14ac:dyDescent="0.2">
      <c r="E18" s="38">
        <f>$B$17</f>
        <v>0.1</v>
      </c>
      <c r="F18" s="38">
        <f>$B$17</f>
        <v>0.1</v>
      </c>
      <c r="G18" s="38">
        <f>$B$17</f>
        <v>0.1</v>
      </c>
      <c r="H18" s="38">
        <f>$B$17</f>
        <v>0.1</v>
      </c>
      <c r="I18" s="38">
        <f>$B$17</f>
        <v>0.1</v>
      </c>
      <c r="J18" s="38">
        <f>I18+('Business Plan &amp; DCF'!$C$7-$B$17)/5</f>
        <v>9.0999999999999998E-2</v>
      </c>
      <c r="K18" s="38">
        <f>J18+('Business Plan &amp; DCF'!$C$7-$B$17)/5</f>
        <v>8.199999999999999E-2</v>
      </c>
      <c r="L18" s="38">
        <f>K18+('Business Plan &amp; DCF'!$C$7-$B$17)/5</f>
        <v>7.2999999999999982E-2</v>
      </c>
      <c r="M18" s="38">
        <f>L18+('Business Plan &amp; DCF'!$C$7-$B$17)/5</f>
        <v>6.3999999999999974E-2</v>
      </c>
      <c r="N18" s="38">
        <f>M18+('Business Plan &amp; DCF'!$C$7-$B$17)/5</f>
        <v>5.4999999999999973E-2</v>
      </c>
    </row>
    <row r="19" spans="2:15" x14ac:dyDescent="0.2">
      <c r="E19" s="47">
        <f>(E17*$C$17-E17*Inputs!$C$47)*(1-Inputs!$C$30)+E17*Inputs!$C$47-E17*Inputs!$C$48-(E17-D17)*Inputs!$C$49</f>
        <v>81.750000000000014</v>
      </c>
      <c r="F19" s="47">
        <f>(F17*$C$17-F17*Inputs!$C$47)*(1-Inputs!$C$30)+F17*Inputs!$C$47-F17*Inputs!$C$48-(F17-E17)*Inputs!$C$49</f>
        <v>89.924999999999983</v>
      </c>
      <c r="G19" s="47">
        <f>(G17*$C$17-G17*Inputs!$C$47)*(1-Inputs!$C$30)+G17*Inputs!$C$47-G17*Inputs!$C$48-(G17-F17)*Inputs!$C$49</f>
        <v>98.917500000000032</v>
      </c>
      <c r="H19" s="47">
        <f>(H17*$C$17-H17*Inputs!$C$47)*(1-Inputs!$C$30)+H17*Inputs!$C$47-H17*Inputs!$C$48-(H17-G17)*Inputs!$C$49</f>
        <v>108.80925000000003</v>
      </c>
      <c r="I19" s="47">
        <f>(I17*$C$17-I17*Inputs!$C$47)*(1-Inputs!$C$30)+I17*Inputs!$C$47-I17*Inputs!$C$48-(I17-H17)*Inputs!$C$49</f>
        <v>119.69017500000004</v>
      </c>
      <c r="J19" s="47">
        <f>(J17*$C$17-J17*Inputs!$C$47)*(1-Inputs!$C$30)+J17*Inputs!$C$47-J17*Inputs!$C$48-(J17-I17)*Inputs!$C$49</f>
        <v>131.76790192500007</v>
      </c>
      <c r="K19" s="47">
        <f>(K17*$C$17-K17*Inputs!$C$47)*(1-Inputs!$C$30)+K17*Inputs!$C$47-K17*Inputs!$C$48-(K17-J17)*Inputs!$C$49</f>
        <v>143.87738298285004</v>
      </c>
      <c r="L19" s="47">
        <f>(L17*$C$17-L17*Inputs!$C$47)*(1-Inputs!$C$30)+L17*Inputs!$C$47-L17*Inputs!$C$48-(L17-K17)*Inputs!$C$49</f>
        <v>155.80365573269819</v>
      </c>
      <c r="M19" s="47">
        <f>(M17*$C$17-M17*Inputs!$C$47)*(1-Inputs!$C$30)+M17*Inputs!$C$47-M17*Inputs!$C$48-(M17-L17)*Inputs!$C$49</f>
        <v>167.31501784264302</v>
      </c>
      <c r="N19" s="47">
        <f>(N17*$C$17-N17*Inputs!$C$47)*(1-Inputs!$C$30)+N17*Inputs!$C$47-N17*Inputs!$C$48-(N17-M17)*Inputs!$C$49</f>
        <v>178.1696867214834</v>
      </c>
    </row>
    <row r="20" spans="2:15" x14ac:dyDescent="0.2">
      <c r="B20" s="72">
        <f>Sensitivity!$B$8</f>
        <v>0.1</v>
      </c>
      <c r="C20" s="72">
        <f>Sensitivity!$D$6</f>
        <v>0.2</v>
      </c>
      <c r="D20" s="11">
        <f>Inputs!$C$9</f>
        <v>750</v>
      </c>
      <c r="E20" s="47">
        <f t="shared" ref="E20:N20" si="5">D20*(1+E21)</f>
        <v>825.00000000000011</v>
      </c>
      <c r="F20" s="47">
        <f t="shared" si="5"/>
        <v>907.50000000000023</v>
      </c>
      <c r="G20" s="47">
        <f t="shared" si="5"/>
        <v>998.25000000000034</v>
      </c>
      <c r="H20" s="47">
        <f t="shared" si="5"/>
        <v>1098.0750000000005</v>
      </c>
      <c r="I20" s="47">
        <f t="shared" si="5"/>
        <v>1207.8825000000006</v>
      </c>
      <c r="J20" s="47">
        <f t="shared" si="5"/>
        <v>1317.7998075000007</v>
      </c>
      <c r="K20" s="47">
        <f t="shared" si="5"/>
        <v>1425.8593917150008</v>
      </c>
      <c r="L20" s="47">
        <f t="shared" si="5"/>
        <v>1529.9471273101958</v>
      </c>
      <c r="M20" s="47">
        <f t="shared" si="5"/>
        <v>1627.8637434580485</v>
      </c>
      <c r="N20" s="47">
        <f t="shared" si="5"/>
        <v>1717.3962493482411</v>
      </c>
      <c r="O20" s="47">
        <f>E22/(1+'Business Plan &amp; DCF'!$C$6)^1+F22/(1+'Business Plan &amp; DCF'!$C$6)^2+G22/(1+'Business Plan &amp; DCF'!$C$6)^3+H22/(1+'Business Plan &amp; DCF'!$C$6)^4+I22/(1+'Business Plan &amp; DCF'!$C$6)^5+J22/(1+'Business Plan &amp; DCF'!$C$6)^6+K22/(1+'Business Plan &amp; DCF'!$C$6)^7+L22/(1+'Business Plan &amp; DCF'!$C$6)^8+M22/(1+'Business Plan &amp; DCF'!$C$6)^9+N22/(1+'Business Plan &amp; DCF'!$C$6)^10+N22*(1+'Business Plan &amp; DCF'!$C$7)/('Business Plan &amp; DCF'!$C$6-'Business Plan &amp; DCF'!$C$7)/(1+'Business Plan &amp; DCF'!$C$6)^10</f>
        <v>2406.4962367519074</v>
      </c>
    </row>
    <row r="21" spans="2:15" x14ac:dyDescent="0.2">
      <c r="E21" s="38">
        <f>$B$20</f>
        <v>0.1</v>
      </c>
      <c r="F21" s="38">
        <f>$B$20</f>
        <v>0.1</v>
      </c>
      <c r="G21" s="38">
        <f>$B$20</f>
        <v>0.1</v>
      </c>
      <c r="H21" s="38">
        <f>$B$20</f>
        <v>0.1</v>
      </c>
      <c r="I21" s="38">
        <f>$B$20</f>
        <v>0.1</v>
      </c>
      <c r="J21" s="38">
        <f>I21+('Business Plan &amp; DCF'!$C$7-$B$20)/5</f>
        <v>9.0999999999999998E-2</v>
      </c>
      <c r="K21" s="38">
        <f>J21+('Business Plan &amp; DCF'!$C$7-$B$20)/5</f>
        <v>8.199999999999999E-2</v>
      </c>
      <c r="L21" s="38">
        <f>K21+('Business Plan &amp; DCF'!$C$7-$B$20)/5</f>
        <v>7.2999999999999982E-2</v>
      </c>
      <c r="M21" s="38">
        <f>L21+('Business Plan &amp; DCF'!$C$7-$B$20)/5</f>
        <v>6.3999999999999974E-2</v>
      </c>
      <c r="N21" s="38">
        <f>M21+('Business Plan &amp; DCF'!$C$7-$B$20)/5</f>
        <v>5.4999999999999973E-2</v>
      </c>
    </row>
    <row r="22" spans="2:15" x14ac:dyDescent="0.2">
      <c r="E22" s="47">
        <f>(E20*$C$20-E20*Inputs!$C$47)*(1-Inputs!$C$30)+E20*Inputs!$C$47-E20*Inputs!$C$48-(E20-D20)*Inputs!$C$49</f>
        <v>94.125000000000014</v>
      </c>
      <c r="F22" s="47">
        <f>(F20*$C$20-F20*Inputs!$C$47)*(1-Inputs!$C$30)+F20*Inputs!$C$47-F20*Inputs!$C$48-(F20-E20)*Inputs!$C$49</f>
        <v>103.53750000000002</v>
      </c>
      <c r="G22" s="47">
        <f>(G20*$C$20-G20*Inputs!$C$47)*(1-Inputs!$C$30)+G20*Inputs!$C$47-G20*Inputs!$C$48-(G20-F20)*Inputs!$C$49</f>
        <v>113.89125000000006</v>
      </c>
      <c r="H22" s="47">
        <f>(H20*$C$20-H20*Inputs!$C$47)*(1-Inputs!$C$30)+H20*Inputs!$C$47-H20*Inputs!$C$48-(H20-G20)*Inputs!$C$49</f>
        <v>125.28037500000008</v>
      </c>
      <c r="I22" s="47">
        <f>(I20*$C$20-I20*Inputs!$C$47)*(1-Inputs!$C$30)+I20*Inputs!$C$47-I20*Inputs!$C$48-(I20-H20)*Inputs!$C$49</f>
        <v>137.80841250000006</v>
      </c>
      <c r="J22" s="47">
        <f>(J20*$C$20-J20*Inputs!$C$47)*(1-Inputs!$C$30)+J20*Inputs!$C$47-J20*Inputs!$C$48-(J20-I20)*Inputs!$C$49</f>
        <v>151.53489903750011</v>
      </c>
      <c r="K22" s="47">
        <f>(K20*$C$20-K20*Inputs!$C$47)*(1-Inputs!$C$30)+K20*Inputs!$C$47-K20*Inputs!$C$48-(K20-J20)*Inputs!$C$49</f>
        <v>165.26527385857506</v>
      </c>
      <c r="L22" s="47">
        <f>(L20*$C$20-L20*Inputs!$C$47)*(1-Inputs!$C$30)+L20*Inputs!$C$47-L20*Inputs!$C$48-(L20-K20)*Inputs!$C$49</f>
        <v>178.75286264235109</v>
      </c>
      <c r="M22" s="47">
        <f>(M20*$C$20-M20*Inputs!$C$47)*(1-Inputs!$C$30)+M20*Inputs!$C$47-M20*Inputs!$C$48-(M20-L20)*Inputs!$C$49</f>
        <v>191.7329739945138</v>
      </c>
      <c r="N22" s="47">
        <f>(N20*$C$20-N20*Inputs!$C$47)*(1-Inputs!$C$30)+N20*Inputs!$C$47-N20*Inputs!$C$48-(N20-M20)*Inputs!$C$49</f>
        <v>203.93063046170704</v>
      </c>
    </row>
    <row r="23" spans="2:15" x14ac:dyDescent="0.2">
      <c r="B23" s="72">
        <f>Sensitivity!$B$8</f>
        <v>0.1</v>
      </c>
      <c r="C23" s="72">
        <f>Sensitivity!$E$6</f>
        <v>0.22</v>
      </c>
      <c r="D23" s="11">
        <f>Inputs!$C$9</f>
        <v>750</v>
      </c>
      <c r="E23" s="47">
        <f t="shared" ref="E23:N23" si="6">D23*(1+E24)</f>
        <v>825.00000000000011</v>
      </c>
      <c r="F23" s="47">
        <f t="shared" si="6"/>
        <v>907.50000000000023</v>
      </c>
      <c r="G23" s="47">
        <f t="shared" si="6"/>
        <v>998.25000000000034</v>
      </c>
      <c r="H23" s="47">
        <f t="shared" si="6"/>
        <v>1098.0750000000005</v>
      </c>
      <c r="I23" s="47">
        <f t="shared" si="6"/>
        <v>1207.8825000000006</v>
      </c>
      <c r="J23" s="47">
        <f t="shared" si="6"/>
        <v>1317.7998075000007</v>
      </c>
      <c r="K23" s="47">
        <f t="shared" si="6"/>
        <v>1425.8593917150008</v>
      </c>
      <c r="L23" s="47">
        <f t="shared" si="6"/>
        <v>1529.9471273101958</v>
      </c>
      <c r="M23" s="47">
        <f t="shared" si="6"/>
        <v>1627.8637434580485</v>
      </c>
      <c r="N23" s="47">
        <f t="shared" si="6"/>
        <v>1717.3962493482411</v>
      </c>
      <c r="O23" s="47">
        <f>E25/(1+'Business Plan &amp; DCF'!$C$6)^1+F25/(1+'Business Plan &amp; DCF'!$C$6)^2+G25/(1+'Business Plan &amp; DCF'!$C$6)^3+H25/(1+'Business Plan &amp; DCF'!$C$6)^4+I25/(1+'Business Plan &amp; DCF'!$C$6)^5+J25/(1+'Business Plan &amp; DCF'!$C$6)^6+K25/(1+'Business Plan &amp; DCF'!$C$6)^7+L25/(1+'Business Plan &amp; DCF'!$C$6)^8+M25/(1+'Business Plan &amp; DCF'!$C$6)^9+N25/(1+'Business Plan &amp; DCF'!$C$6)^10+N25*(1+'Business Plan &amp; DCF'!$C$7)/('Business Plan &amp; DCF'!$C$6-'Business Plan &amp; DCF'!$C$7)/(1+'Business Plan &amp; DCF'!$C$6)^10</f>
        <v>2713.5081875518504</v>
      </c>
    </row>
    <row r="24" spans="2:15" x14ac:dyDescent="0.2">
      <c r="E24" s="38">
        <f>$B$23</f>
        <v>0.1</v>
      </c>
      <c r="F24" s="38">
        <f>$B$23</f>
        <v>0.1</v>
      </c>
      <c r="G24" s="38">
        <f>$B$23</f>
        <v>0.1</v>
      </c>
      <c r="H24" s="38">
        <f>$B$23</f>
        <v>0.1</v>
      </c>
      <c r="I24" s="38">
        <f>$B$23</f>
        <v>0.1</v>
      </c>
      <c r="J24" s="38">
        <f>I24+('Business Plan &amp; DCF'!$C$7-$B$23)/5</f>
        <v>9.0999999999999998E-2</v>
      </c>
      <c r="K24" s="38">
        <f>J24+('Business Plan &amp; DCF'!$C$7-$B$23)/5</f>
        <v>8.199999999999999E-2</v>
      </c>
      <c r="L24" s="38">
        <f>K24+('Business Plan &amp; DCF'!$C$7-$B$23)/5</f>
        <v>7.2999999999999982E-2</v>
      </c>
      <c r="M24" s="38">
        <f>L24+('Business Plan &amp; DCF'!$C$7-$B$23)/5</f>
        <v>6.3999999999999974E-2</v>
      </c>
      <c r="N24" s="38">
        <f>M24+('Business Plan &amp; DCF'!$C$7-$B$23)/5</f>
        <v>5.4999999999999973E-2</v>
      </c>
    </row>
    <row r="25" spans="2:15" x14ac:dyDescent="0.2">
      <c r="E25" s="47">
        <f>(E23*$C$23-E23*Inputs!$C$47)*(1-Inputs!$C$30)+E23*Inputs!$C$47-E23*Inputs!$C$48-(E23-D23)*Inputs!$C$49</f>
        <v>106.50000000000001</v>
      </c>
      <c r="F25" s="47">
        <f>(F23*$C$23-F23*Inputs!$C$47)*(1-Inputs!$C$30)+F23*Inputs!$C$47-F23*Inputs!$C$48-(F23-E23)*Inputs!$C$49</f>
        <v>117.15000000000003</v>
      </c>
      <c r="G25" s="47">
        <f>(G23*$C$23-G23*Inputs!$C$47)*(1-Inputs!$C$30)+G23*Inputs!$C$47-G23*Inputs!$C$48-(G23-F23)*Inputs!$C$49</f>
        <v>128.86500000000001</v>
      </c>
      <c r="H25" s="47">
        <f>(H23*$C$23-H23*Inputs!$C$47)*(1-Inputs!$C$30)+H23*Inputs!$C$47-H23*Inputs!$C$48-(H23-G23)*Inputs!$C$49</f>
        <v>141.75150000000005</v>
      </c>
      <c r="I25" s="47">
        <f>(I23*$C$23-I23*Inputs!$C$47)*(1-Inputs!$C$30)+I23*Inputs!$C$47-I23*Inputs!$C$48-(I23-H23)*Inputs!$C$49</f>
        <v>155.92665000000005</v>
      </c>
      <c r="J25" s="47">
        <f>(J23*$C$23-J23*Inputs!$C$47)*(1-Inputs!$C$30)+J23*Inputs!$C$47-J23*Inputs!$C$48-(J23-I23)*Inputs!$C$49</f>
        <v>171.30189615000012</v>
      </c>
      <c r="K25" s="47">
        <f>(K23*$C$23-K23*Inputs!$C$47)*(1-Inputs!$C$30)+K23*Inputs!$C$47-K23*Inputs!$C$48-(K23-J23)*Inputs!$C$49</f>
        <v>186.65316473430008</v>
      </c>
      <c r="L25" s="47">
        <f>(L23*$C$23-L23*Inputs!$C$47)*(1-Inputs!$C$30)+L23*Inputs!$C$47-L23*Inputs!$C$48-(L23-K23)*Inputs!$C$49</f>
        <v>201.70206955200405</v>
      </c>
      <c r="M25" s="47">
        <f>(M23*$C$23-M23*Inputs!$C$47)*(1-Inputs!$C$30)+M23*Inputs!$C$47-M23*Inputs!$C$48-(M23-L23)*Inputs!$C$49</f>
        <v>216.1509301463845</v>
      </c>
      <c r="N25" s="47">
        <f>(N23*$C$23-N23*Inputs!$C$47)*(1-Inputs!$C$30)+N23*Inputs!$C$47-N23*Inputs!$C$48-(N23-M23)*Inputs!$C$49</f>
        <v>229.69157420193062</v>
      </c>
    </row>
    <row r="26" spans="2:15" x14ac:dyDescent="0.2">
      <c r="B26" s="72">
        <f>Sensitivity!$B$8</f>
        <v>0.1</v>
      </c>
      <c r="C26" s="72">
        <f>Sensitivity!$F$6</f>
        <v>0.24</v>
      </c>
      <c r="D26" s="11">
        <f>Inputs!$C$9</f>
        <v>750</v>
      </c>
      <c r="E26" s="47">
        <f t="shared" ref="E26:N26" si="7">D26*(1+E27)</f>
        <v>825.00000000000011</v>
      </c>
      <c r="F26" s="47">
        <f t="shared" si="7"/>
        <v>907.50000000000023</v>
      </c>
      <c r="G26" s="47">
        <f t="shared" si="7"/>
        <v>998.25000000000034</v>
      </c>
      <c r="H26" s="47">
        <f t="shared" si="7"/>
        <v>1098.0750000000005</v>
      </c>
      <c r="I26" s="47">
        <f t="shared" si="7"/>
        <v>1207.8825000000006</v>
      </c>
      <c r="J26" s="47">
        <f t="shared" si="7"/>
        <v>1317.7998075000007</v>
      </c>
      <c r="K26" s="47">
        <f t="shared" si="7"/>
        <v>1425.8593917150008</v>
      </c>
      <c r="L26" s="47">
        <f t="shared" si="7"/>
        <v>1529.9471273101958</v>
      </c>
      <c r="M26" s="47">
        <f t="shared" si="7"/>
        <v>1627.8637434580485</v>
      </c>
      <c r="N26" s="47">
        <f t="shared" si="7"/>
        <v>1717.3962493482411</v>
      </c>
      <c r="O26" s="47">
        <f>E28/(1+'Business Plan &amp; DCF'!$C$6)^1+F28/(1+'Business Plan &amp; DCF'!$C$6)^2+G28/(1+'Business Plan &amp; DCF'!$C$6)^3+H28/(1+'Business Plan &amp; DCF'!$C$6)^4+I28/(1+'Business Plan &amp; DCF'!$C$6)^5+J28/(1+'Business Plan &amp; DCF'!$C$6)^6+K28/(1+'Business Plan &amp; DCF'!$C$6)^7+L28/(1+'Business Plan &amp; DCF'!$C$6)^8+M28/(1+'Business Plan &amp; DCF'!$C$6)^9+N28/(1+'Business Plan &amp; DCF'!$C$6)^10+N28*(1+'Business Plan &amp; DCF'!$C$7)/('Business Plan &amp; DCF'!$C$6-'Business Plan &amp; DCF'!$C$7)/(1+'Business Plan &amp; DCF'!$C$6)^10</f>
        <v>3020.5201383517933</v>
      </c>
    </row>
    <row r="27" spans="2:15" x14ac:dyDescent="0.2">
      <c r="E27" s="38">
        <f>$B$26</f>
        <v>0.1</v>
      </c>
      <c r="F27" s="38">
        <f>$B$26</f>
        <v>0.1</v>
      </c>
      <c r="G27" s="38">
        <f>$B$26</f>
        <v>0.1</v>
      </c>
      <c r="H27" s="38">
        <f>$B$26</f>
        <v>0.1</v>
      </c>
      <c r="I27" s="38">
        <f>$B$26</f>
        <v>0.1</v>
      </c>
      <c r="J27" s="38">
        <f>I27+('Business Plan &amp; DCF'!$C$7-$B$26)/5</f>
        <v>9.0999999999999998E-2</v>
      </c>
      <c r="K27" s="38">
        <f>J27+('Business Plan &amp; DCF'!$C$7-$B$26)/5</f>
        <v>8.199999999999999E-2</v>
      </c>
      <c r="L27" s="38">
        <f>K27+('Business Plan &amp; DCF'!$C$7-$B$26)/5</f>
        <v>7.2999999999999982E-2</v>
      </c>
      <c r="M27" s="38">
        <f>L27+('Business Plan &amp; DCF'!$C$7-$B$26)/5</f>
        <v>6.3999999999999974E-2</v>
      </c>
      <c r="N27" s="38">
        <f>M27+('Business Plan &amp; DCF'!$C$7-$B$26)/5</f>
        <v>5.4999999999999973E-2</v>
      </c>
    </row>
    <row r="28" spans="2:15" x14ac:dyDescent="0.2">
      <c r="E28" s="47">
        <f>(E26*$C$26-E26*Inputs!$C$47)*(1-Inputs!$C$30)+E26*Inputs!$C$47-E26*Inputs!$C$48-(E26-D26)*Inputs!$C$49</f>
        <v>118.87500000000001</v>
      </c>
      <c r="F28" s="47">
        <f>(F26*$C$26-F26*Inputs!$C$47)*(1-Inputs!$C$30)+F26*Inputs!$C$47-F26*Inputs!$C$48-(F26-E26)*Inputs!$C$49</f>
        <v>130.76250000000002</v>
      </c>
      <c r="G28" s="47">
        <f>(G26*$C$26-G26*Inputs!$C$47)*(1-Inputs!$C$30)+G26*Inputs!$C$47-G26*Inputs!$C$48-(G26-F26)*Inputs!$C$49</f>
        <v>143.83875000000003</v>
      </c>
      <c r="H28" s="47">
        <f>(H26*$C$26-H26*Inputs!$C$47)*(1-Inputs!$C$30)+H26*Inputs!$C$47-H26*Inputs!$C$48-(H26-G26)*Inputs!$C$49</f>
        <v>158.22262500000008</v>
      </c>
      <c r="I28" s="47">
        <f>(I26*$C$26-I26*Inputs!$C$47)*(1-Inputs!$C$30)+I26*Inputs!$C$47-I26*Inputs!$C$48-(I26-H26)*Inputs!$C$49</f>
        <v>174.0448875000001</v>
      </c>
      <c r="J28" s="47">
        <f>(J26*$C$26-J26*Inputs!$C$47)*(1-Inputs!$C$30)+J26*Inputs!$C$47-J26*Inputs!$C$48-(J26-I26)*Inputs!$C$49</f>
        <v>191.06889326250013</v>
      </c>
      <c r="K28" s="47">
        <f>(K26*$C$26-K26*Inputs!$C$47)*(1-Inputs!$C$30)+K26*Inputs!$C$47-K26*Inputs!$C$48-(K26-J26)*Inputs!$C$49</f>
        <v>208.04105561002515</v>
      </c>
      <c r="L28" s="47">
        <f>(L26*$C$26-L26*Inputs!$C$47)*(1-Inputs!$C$30)+L26*Inputs!$C$47-L26*Inputs!$C$48-(L26-K26)*Inputs!$C$49</f>
        <v>224.65127646165695</v>
      </c>
      <c r="M28" s="47">
        <f>(M26*$C$26-M26*Inputs!$C$47)*(1-Inputs!$C$30)+M26*Inputs!$C$47-M26*Inputs!$C$48-(M26-L26)*Inputs!$C$49</f>
        <v>240.56888629825517</v>
      </c>
      <c r="N28" s="47">
        <f>(N26*$C$26-N26*Inputs!$C$47)*(1-Inputs!$C$30)+N26*Inputs!$C$47-N26*Inputs!$C$48-(N26-M26)*Inputs!$C$49</f>
        <v>255.45251794215426</v>
      </c>
    </row>
    <row r="29" spans="2:15" x14ac:dyDescent="0.2">
      <c r="B29" s="72">
        <f>Sensitivity!$B$9</f>
        <v>0.14000000000000001</v>
      </c>
      <c r="C29" s="72">
        <f>Sensitivity!$C$6</f>
        <v>0.18</v>
      </c>
      <c r="D29" s="11">
        <f>Inputs!$C$9</f>
        <v>750</v>
      </c>
      <c r="E29" s="47">
        <f t="shared" ref="E29:N29" si="8">D29*(1+E30)</f>
        <v>855.00000000000011</v>
      </c>
      <c r="F29" s="47">
        <f t="shared" si="8"/>
        <v>974.70000000000027</v>
      </c>
      <c r="G29" s="47">
        <f t="shared" si="8"/>
        <v>1111.1580000000004</v>
      </c>
      <c r="H29" s="47">
        <f t="shared" si="8"/>
        <v>1266.7201200000006</v>
      </c>
      <c r="I29" s="47">
        <f t="shared" si="8"/>
        <v>1444.0609368000009</v>
      </c>
      <c r="J29" s="47">
        <f t="shared" si="8"/>
        <v>1621.6804320264011</v>
      </c>
      <c r="K29" s="47">
        <f t="shared" si="8"/>
        <v>1793.5785578211999</v>
      </c>
      <c r="L29" s="47">
        <f t="shared" si="8"/>
        <v>1953.2070494672867</v>
      </c>
      <c r="M29" s="47">
        <f t="shared" si="8"/>
        <v>2093.8379570289312</v>
      </c>
      <c r="N29" s="47">
        <f t="shared" si="8"/>
        <v>2208.9990446655224</v>
      </c>
      <c r="O29" s="47">
        <f>E31/(1+'Business Plan &amp; DCF'!$C$6)^1+F31/(1+'Business Plan &amp; DCF'!$C$6)^2+G31/(1+'Business Plan &amp; DCF'!$C$6)^3+H31/(1+'Business Plan &amp; DCF'!$C$6)^4+I31/(1+'Business Plan &amp; DCF'!$C$6)^5+J31/(1+'Business Plan &amp; DCF'!$C$6)^6+K31/(1+'Business Plan &amp; DCF'!$C$6)^7+L31/(1+'Business Plan &amp; DCF'!$C$6)^8+M31/(1+'Business Plan &amp; DCF'!$C$6)^9+N31/(1+'Business Plan &amp; DCF'!$C$6)^10+N31*(1+'Business Plan &amp; DCF'!$C$7)/('Business Plan &amp; DCF'!$C$6-'Business Plan &amp; DCF'!$C$7)/(1+'Business Plan &amp; DCF'!$C$6)^10</f>
        <v>2607.7721756769943</v>
      </c>
    </row>
    <row r="30" spans="2:15" x14ac:dyDescent="0.2">
      <c r="E30" s="38">
        <f>$B$29</f>
        <v>0.14000000000000001</v>
      </c>
      <c r="F30" s="38">
        <f>$B$29</f>
        <v>0.14000000000000001</v>
      </c>
      <c r="G30" s="38">
        <f>$B$29</f>
        <v>0.14000000000000001</v>
      </c>
      <c r="H30" s="38">
        <f>$B$29</f>
        <v>0.14000000000000001</v>
      </c>
      <c r="I30" s="38">
        <f>$B$29</f>
        <v>0.14000000000000001</v>
      </c>
      <c r="J30" s="38">
        <f>I30+('Business Plan &amp; DCF'!$C$7-$B$29)/5</f>
        <v>0.12300000000000001</v>
      </c>
      <c r="K30" s="38">
        <f>J30+('Business Plan &amp; DCF'!$C$7-$B$29)/5</f>
        <v>0.10600000000000001</v>
      </c>
      <c r="L30" s="38">
        <f>K30+('Business Plan &amp; DCF'!$C$7-$B$29)/5</f>
        <v>8.900000000000001E-2</v>
      </c>
      <c r="M30" s="38">
        <f>L30+('Business Plan &amp; DCF'!$C$7-$B$29)/5</f>
        <v>7.2000000000000008E-2</v>
      </c>
      <c r="N30" s="38">
        <f>M30+('Business Plan &amp; DCF'!$C$7-$B$29)/5</f>
        <v>5.5000000000000007E-2</v>
      </c>
    </row>
    <row r="31" spans="2:15" x14ac:dyDescent="0.2">
      <c r="E31" s="47">
        <f>(E29*$C$29-E29*Inputs!$C$47)*(1-Inputs!$C$30)+E29*Inputs!$C$47-E29*Inputs!$C$48-(E29-D29)*Inputs!$C$49</f>
        <v>81.45</v>
      </c>
      <c r="F31" s="47">
        <f>(F29*$C$29-F29*Inputs!$C$47)*(1-Inputs!$C$30)+F29*Inputs!$C$47-F29*Inputs!$C$48-(F29-E29)*Inputs!$C$49</f>
        <v>92.853000000000023</v>
      </c>
      <c r="G31" s="47">
        <f>(G29*$C$29-G29*Inputs!$C$47)*(1-Inputs!$C$30)+G29*Inputs!$C$47-G29*Inputs!$C$48-(G29-F29)*Inputs!$C$49</f>
        <v>105.85242000000002</v>
      </c>
      <c r="H31" s="47">
        <f>(H29*$C$29-H29*Inputs!$C$47)*(1-Inputs!$C$30)+H29*Inputs!$C$47-H29*Inputs!$C$48-(H29-G29)*Inputs!$C$49</f>
        <v>120.67175880000005</v>
      </c>
      <c r="I31" s="47">
        <f>(I29*$C$29-I29*Inputs!$C$47)*(1-Inputs!$C$30)+I29*Inputs!$C$47-I29*Inputs!$C$48-(I29-H29)*Inputs!$C$49</f>
        <v>137.56580503200007</v>
      </c>
      <c r="J31" s="47">
        <f>(J29*$C$29-J29*Inputs!$C$47)*(1-Inputs!$C$30)+J29*Inputs!$C$47-J29*Inputs!$C$48-(J29-I29)*Inputs!$C$49</f>
        <v>157.0705080957361</v>
      </c>
      <c r="K31" s="47">
        <f>(K29*$C$29-K29*Inputs!$C$47)*(1-Inputs!$C$30)+K29*Inputs!$C$47-K29*Inputs!$C$48-(K29-J29)*Inputs!$C$49</f>
        <v>176.66586626495612</v>
      </c>
      <c r="L31" s="47">
        <f>(L29*$C$29-L29*Inputs!$C$47)*(1-Inputs!$C$30)+L29*Inputs!$C$47-L29*Inputs!$C$48-(L29-K29)*Inputs!$C$49</f>
        <v>195.69735644387112</v>
      </c>
      <c r="M31" s="47">
        <f>(M29*$C$29-M29*Inputs!$C$47)*(1-Inputs!$C$30)+M29*Inputs!$C$47-M29*Inputs!$C$48-(M29-L29)*Inputs!$C$49</f>
        <v>213.44646636578508</v>
      </c>
      <c r="N31" s="47">
        <f>(N29*$C$29-N29*Inputs!$C$47)*(1-Inputs!$C$30)+N29*Inputs!$C$47-N29*Inputs!$C$48-(N29-M29)*Inputs!$C$49</f>
        <v>229.17056439681653</v>
      </c>
    </row>
    <row r="32" spans="2:15" x14ac:dyDescent="0.2">
      <c r="B32" s="72">
        <f>Sensitivity!$B$9</f>
        <v>0.14000000000000001</v>
      </c>
      <c r="C32" s="72">
        <f>Sensitivity!$D$6</f>
        <v>0.2</v>
      </c>
      <c r="D32" s="11">
        <f>Inputs!$C$9</f>
        <v>750</v>
      </c>
      <c r="E32" s="47">
        <f t="shared" ref="E32:N32" si="9">D32*(1+E33)</f>
        <v>855.00000000000011</v>
      </c>
      <c r="F32" s="47">
        <f t="shared" si="9"/>
        <v>974.70000000000027</v>
      </c>
      <c r="G32" s="47">
        <f t="shared" si="9"/>
        <v>1111.1580000000004</v>
      </c>
      <c r="H32" s="47">
        <f t="shared" si="9"/>
        <v>1266.7201200000006</v>
      </c>
      <c r="I32" s="47">
        <f t="shared" si="9"/>
        <v>1444.0609368000009</v>
      </c>
      <c r="J32" s="47">
        <f t="shared" si="9"/>
        <v>1621.6804320264011</v>
      </c>
      <c r="K32" s="47">
        <f t="shared" si="9"/>
        <v>1793.5785578211999</v>
      </c>
      <c r="L32" s="47">
        <f t="shared" si="9"/>
        <v>1953.2070494672867</v>
      </c>
      <c r="M32" s="47">
        <f t="shared" si="9"/>
        <v>2093.8379570289312</v>
      </c>
      <c r="N32" s="47">
        <f t="shared" si="9"/>
        <v>2208.9990446655224</v>
      </c>
      <c r="O32" s="47">
        <f>E34/(1+'Business Plan &amp; DCF'!$C$6)^1+F34/(1+'Business Plan &amp; DCF'!$C$6)^2+G34/(1+'Business Plan &amp; DCF'!$C$6)^3+H34/(1+'Business Plan &amp; DCF'!$C$6)^4+I34/(1+'Business Plan &amp; DCF'!$C$6)^5+J34/(1+'Business Plan &amp; DCF'!$C$6)^6+K34/(1+'Business Plan &amp; DCF'!$C$6)^7+L34/(1+'Business Plan &amp; DCF'!$C$6)^8+M34/(1+'Business Plan &amp; DCF'!$C$6)^9+N34/(1+'Business Plan &amp; DCF'!$C$6)^10+N34*(1+'Business Plan &amp; DCF'!$C$7)/('Business Plan &amp; DCF'!$C$6-'Business Plan &amp; DCF'!$C$7)/(1+'Business Plan &amp; DCF'!$C$6)^10</f>
        <v>2992.111999558098</v>
      </c>
    </row>
    <row r="33" spans="2:15" x14ac:dyDescent="0.2">
      <c r="E33" s="38">
        <f>$B$32</f>
        <v>0.14000000000000001</v>
      </c>
      <c r="F33" s="38">
        <f>$B$32</f>
        <v>0.14000000000000001</v>
      </c>
      <c r="G33" s="38">
        <f>$B$32</f>
        <v>0.14000000000000001</v>
      </c>
      <c r="H33" s="38">
        <f>$B$32</f>
        <v>0.14000000000000001</v>
      </c>
      <c r="I33" s="38">
        <f>$B$32</f>
        <v>0.14000000000000001</v>
      </c>
      <c r="J33" s="38">
        <f>I33+('Business Plan &amp; DCF'!$C$7-$B$32)/5</f>
        <v>0.12300000000000001</v>
      </c>
      <c r="K33" s="38">
        <f>J33+('Business Plan &amp; DCF'!$C$7-$B$32)/5</f>
        <v>0.10600000000000001</v>
      </c>
      <c r="L33" s="38">
        <f>K33+('Business Plan &amp; DCF'!$C$7-$B$32)/5</f>
        <v>8.900000000000001E-2</v>
      </c>
      <c r="M33" s="38">
        <f>L33+('Business Plan &amp; DCF'!$C$7-$B$32)/5</f>
        <v>7.2000000000000008E-2</v>
      </c>
      <c r="N33" s="38">
        <f>M33+('Business Plan &amp; DCF'!$C$7-$B$32)/5</f>
        <v>5.5000000000000007E-2</v>
      </c>
    </row>
    <row r="34" spans="2:15" x14ac:dyDescent="0.2">
      <c r="E34" s="47">
        <f>(E32*$C$32-E32*Inputs!$C$47)*(1-Inputs!$C$30)+E32*Inputs!$C$47-E32*Inputs!$C$48-(E32-D32)*Inputs!$C$49</f>
        <v>94.27500000000002</v>
      </c>
      <c r="F34" s="47">
        <f>(F32*$C$32-F32*Inputs!$C$47)*(1-Inputs!$C$30)+F32*Inputs!$C$47-F32*Inputs!$C$48-(F32-E32)*Inputs!$C$49</f>
        <v>107.47350000000002</v>
      </c>
      <c r="G34" s="47">
        <f>(G32*$C$32-G32*Inputs!$C$47)*(1-Inputs!$C$30)+G32*Inputs!$C$47-G32*Inputs!$C$48-(G32-F32)*Inputs!$C$49</f>
        <v>122.51979000000003</v>
      </c>
      <c r="H34" s="47">
        <f>(H32*$C$32-H32*Inputs!$C$47)*(1-Inputs!$C$30)+H32*Inputs!$C$47-H32*Inputs!$C$48-(H32-G32)*Inputs!$C$49</f>
        <v>139.67256060000005</v>
      </c>
      <c r="I34" s="47">
        <f>(I32*$C$32-I32*Inputs!$C$47)*(1-Inputs!$C$30)+I32*Inputs!$C$47-I32*Inputs!$C$48-(I32-H32)*Inputs!$C$49</f>
        <v>159.22671908400014</v>
      </c>
      <c r="J34" s="47">
        <f>(J32*$C$32-J32*Inputs!$C$47)*(1-Inputs!$C$30)+J32*Inputs!$C$47-J32*Inputs!$C$48-(J32-I32)*Inputs!$C$49</f>
        <v>181.39571457613215</v>
      </c>
      <c r="K34" s="47">
        <f>(K32*$C$32-K32*Inputs!$C$47)*(1-Inputs!$C$30)+K32*Inputs!$C$47-K32*Inputs!$C$48-(K32-J32)*Inputs!$C$49</f>
        <v>203.56954463227416</v>
      </c>
      <c r="L34" s="47">
        <f>(L32*$C$32-L32*Inputs!$C$47)*(1-Inputs!$C$30)+L32*Inputs!$C$47-L32*Inputs!$C$48-(L32-K32)*Inputs!$C$49</f>
        <v>224.99546218588046</v>
      </c>
      <c r="M34" s="47">
        <f>(M32*$C$32-M32*Inputs!$C$47)*(1-Inputs!$C$30)+M32*Inputs!$C$47-M32*Inputs!$C$48-(M32-L32)*Inputs!$C$49</f>
        <v>244.85403572121911</v>
      </c>
      <c r="N34" s="47">
        <f>(N32*$C$32-N32*Inputs!$C$47)*(1-Inputs!$C$30)+N32*Inputs!$C$47-N32*Inputs!$C$48-(N32-M32)*Inputs!$C$49</f>
        <v>262.30555006679941</v>
      </c>
    </row>
    <row r="35" spans="2:15" x14ac:dyDescent="0.2">
      <c r="B35" s="72">
        <f>Sensitivity!$B$9</f>
        <v>0.14000000000000001</v>
      </c>
      <c r="C35" s="72">
        <f>Sensitivity!$E$6</f>
        <v>0.22</v>
      </c>
      <c r="D35" s="11">
        <f>Inputs!$C$9</f>
        <v>750</v>
      </c>
      <c r="E35" s="47">
        <f t="shared" ref="E35:N35" si="10">D35*(1+E36)</f>
        <v>855.00000000000011</v>
      </c>
      <c r="F35" s="47">
        <f t="shared" si="10"/>
        <v>974.70000000000027</v>
      </c>
      <c r="G35" s="47">
        <f t="shared" si="10"/>
        <v>1111.1580000000004</v>
      </c>
      <c r="H35" s="47">
        <f t="shared" si="10"/>
        <v>1266.7201200000006</v>
      </c>
      <c r="I35" s="47">
        <f t="shared" si="10"/>
        <v>1444.0609368000009</v>
      </c>
      <c r="J35" s="47">
        <f t="shared" si="10"/>
        <v>1621.6804320264011</v>
      </c>
      <c r="K35" s="47">
        <f t="shared" si="10"/>
        <v>1793.5785578211999</v>
      </c>
      <c r="L35" s="47">
        <f t="shared" si="10"/>
        <v>1953.2070494672867</v>
      </c>
      <c r="M35" s="47">
        <f t="shared" si="10"/>
        <v>2093.8379570289312</v>
      </c>
      <c r="N35" s="47">
        <f t="shared" si="10"/>
        <v>2208.9990446655224</v>
      </c>
      <c r="O35" s="47">
        <f>E37/(1+'Business Plan &amp; DCF'!$C$6)^1+F37/(1+'Business Plan &amp; DCF'!$C$6)^2+G37/(1+'Business Plan &amp; DCF'!$C$6)^3+H37/(1+'Business Plan &amp; DCF'!$C$6)^4+I37/(1+'Business Plan &amp; DCF'!$C$6)^5+J37/(1+'Business Plan &amp; DCF'!$C$6)^6+K37/(1+'Business Plan &amp; DCF'!$C$6)^7+L37/(1+'Business Plan &amp; DCF'!$C$6)^8+M37/(1+'Business Plan &amp; DCF'!$C$6)^9+N37/(1+'Business Plan &amp; DCF'!$C$6)^10+N37*(1+'Business Plan &amp; DCF'!$C$7)/('Business Plan &amp; DCF'!$C$6-'Business Plan &amp; DCF'!$C$7)/(1+'Business Plan &amp; DCF'!$C$6)^10</f>
        <v>3376.4518234392008</v>
      </c>
    </row>
    <row r="36" spans="2:15" x14ac:dyDescent="0.2">
      <c r="E36" s="38">
        <f>$B$35</f>
        <v>0.14000000000000001</v>
      </c>
      <c r="F36" s="38">
        <f>$B$35</f>
        <v>0.14000000000000001</v>
      </c>
      <c r="G36" s="38">
        <f>$B$35</f>
        <v>0.14000000000000001</v>
      </c>
      <c r="H36" s="38">
        <f>$B$35</f>
        <v>0.14000000000000001</v>
      </c>
      <c r="I36" s="38">
        <f>$B$35</f>
        <v>0.14000000000000001</v>
      </c>
      <c r="J36" s="38">
        <f>I36+('Business Plan &amp; DCF'!$C$7-$B$35)/5</f>
        <v>0.12300000000000001</v>
      </c>
      <c r="K36" s="38">
        <f>J36+('Business Plan &amp; DCF'!$C$7-$B$35)/5</f>
        <v>0.10600000000000001</v>
      </c>
      <c r="L36" s="38">
        <f>K36+('Business Plan &amp; DCF'!$C$7-$B$35)/5</f>
        <v>8.900000000000001E-2</v>
      </c>
      <c r="M36" s="38">
        <f>L36+('Business Plan &amp; DCF'!$C$7-$B$35)/5</f>
        <v>7.2000000000000008E-2</v>
      </c>
      <c r="N36" s="38">
        <f>M36+('Business Plan &amp; DCF'!$C$7-$B$35)/5</f>
        <v>5.5000000000000007E-2</v>
      </c>
    </row>
    <row r="37" spans="2:15" x14ac:dyDescent="0.2">
      <c r="E37" s="47">
        <f>(E35*$C$35-E35*Inputs!$C$47)*(1-Inputs!$C$30)+E35*Inputs!$C$47-E35*Inputs!$C$48-(E35-D35)*Inputs!$C$49</f>
        <v>107.10000000000001</v>
      </c>
      <c r="F37" s="47">
        <f>(F35*$C$35-F35*Inputs!$C$47)*(1-Inputs!$C$30)+F35*Inputs!$C$47-F35*Inputs!$C$48-(F35-E35)*Inputs!$C$49</f>
        <v>122.09400000000001</v>
      </c>
      <c r="G37" s="47">
        <f>(G35*$C$35-G35*Inputs!$C$47)*(1-Inputs!$C$30)+G35*Inputs!$C$47-G35*Inputs!$C$48-(G35-F35)*Inputs!$C$49</f>
        <v>139.18716000000003</v>
      </c>
      <c r="H37" s="47">
        <f>(H35*$C$35-H35*Inputs!$C$47)*(1-Inputs!$C$30)+H35*Inputs!$C$47-H35*Inputs!$C$48-(H35-G35)*Inputs!$C$49</f>
        <v>158.67336240000009</v>
      </c>
      <c r="I37" s="47">
        <f>(I35*$C$35-I35*Inputs!$C$47)*(1-Inputs!$C$30)+I35*Inputs!$C$47-I35*Inputs!$C$48-(I35-H35)*Inputs!$C$49</f>
        <v>180.88763313600012</v>
      </c>
      <c r="J37" s="47">
        <f>(J35*$C$35-J35*Inputs!$C$47)*(1-Inputs!$C$30)+J35*Inputs!$C$47-J35*Inputs!$C$48-(J35-I35)*Inputs!$C$49</f>
        <v>205.72092105652814</v>
      </c>
      <c r="K37" s="47">
        <f>(K35*$C$35-K35*Inputs!$C$47)*(1-Inputs!$C$30)+K35*Inputs!$C$47-K35*Inputs!$C$48-(K35-J35)*Inputs!$C$49</f>
        <v>230.47322299959214</v>
      </c>
      <c r="L37" s="47">
        <f>(L35*$C$35-L35*Inputs!$C$47)*(1-Inputs!$C$30)+L35*Inputs!$C$47-L35*Inputs!$C$48-(L35-K35)*Inputs!$C$49</f>
        <v>254.29356792788965</v>
      </c>
      <c r="M37" s="47">
        <f>(M35*$C$35-M35*Inputs!$C$47)*(1-Inputs!$C$30)+M35*Inputs!$C$47-M35*Inputs!$C$48-(M35-L35)*Inputs!$C$49</f>
        <v>276.26160507665304</v>
      </c>
      <c r="N37" s="47">
        <f>(N35*$C$35-N35*Inputs!$C$47)*(1-Inputs!$C$30)+N35*Inputs!$C$47-N35*Inputs!$C$48-(N35-M35)*Inputs!$C$49</f>
        <v>295.44053573678224</v>
      </c>
    </row>
    <row r="38" spans="2:15" x14ac:dyDescent="0.2">
      <c r="B38" s="72">
        <f>Sensitivity!$B$9</f>
        <v>0.14000000000000001</v>
      </c>
      <c r="C38" s="72">
        <f>Sensitivity!$F$6</f>
        <v>0.24</v>
      </c>
      <c r="D38" s="11">
        <f>Inputs!$C$9</f>
        <v>750</v>
      </c>
      <c r="E38" s="47">
        <f t="shared" ref="E38:N38" si="11">D38*(1+E39)</f>
        <v>855.00000000000011</v>
      </c>
      <c r="F38" s="47">
        <f t="shared" si="11"/>
        <v>974.70000000000027</v>
      </c>
      <c r="G38" s="47">
        <f t="shared" si="11"/>
        <v>1111.1580000000004</v>
      </c>
      <c r="H38" s="47">
        <f t="shared" si="11"/>
        <v>1266.7201200000006</v>
      </c>
      <c r="I38" s="47">
        <f t="shared" si="11"/>
        <v>1444.0609368000009</v>
      </c>
      <c r="J38" s="47">
        <f t="shared" si="11"/>
        <v>1621.6804320264011</v>
      </c>
      <c r="K38" s="47">
        <f t="shared" si="11"/>
        <v>1793.5785578211999</v>
      </c>
      <c r="L38" s="47">
        <f t="shared" si="11"/>
        <v>1953.2070494672867</v>
      </c>
      <c r="M38" s="47">
        <f t="shared" si="11"/>
        <v>2093.8379570289312</v>
      </c>
      <c r="N38" s="47">
        <f t="shared" si="11"/>
        <v>2208.9990446655224</v>
      </c>
      <c r="O38" s="47">
        <f>E40/(1+'Business Plan &amp; DCF'!$C$6)^1+F40/(1+'Business Plan &amp; DCF'!$C$6)^2+G40/(1+'Business Plan &amp; DCF'!$C$6)^3+H40/(1+'Business Plan &amp; DCF'!$C$6)^4+I40/(1+'Business Plan &amp; DCF'!$C$6)^5+J40/(1+'Business Plan &amp; DCF'!$C$6)^6+K40/(1+'Business Plan &amp; DCF'!$C$6)^7+L40/(1+'Business Plan &amp; DCF'!$C$6)^8+M40/(1+'Business Plan &amp; DCF'!$C$6)^9+N40/(1+'Business Plan &amp; DCF'!$C$6)^10+N40*(1+'Business Plan &amp; DCF'!$C$7)/('Business Plan &amp; DCF'!$C$6-'Business Plan &amp; DCF'!$C$7)/(1+'Business Plan &amp; DCF'!$C$6)^10</f>
        <v>3760.7916473203031</v>
      </c>
    </row>
    <row r="39" spans="2:15" x14ac:dyDescent="0.2">
      <c r="E39" s="38">
        <f>$B$38</f>
        <v>0.14000000000000001</v>
      </c>
      <c r="F39" s="38">
        <f>$B$38</f>
        <v>0.14000000000000001</v>
      </c>
      <c r="G39" s="38">
        <f>$B$38</f>
        <v>0.14000000000000001</v>
      </c>
      <c r="H39" s="38">
        <f>$B$38</f>
        <v>0.14000000000000001</v>
      </c>
      <c r="I39" s="38">
        <f>$B$38</f>
        <v>0.14000000000000001</v>
      </c>
      <c r="J39" s="38">
        <f>I39+('Business Plan &amp; DCF'!$C$7-$B$38)/5</f>
        <v>0.12300000000000001</v>
      </c>
      <c r="K39" s="38">
        <f>J39+('Business Plan &amp; DCF'!$C$7-$B$38)/5</f>
        <v>0.10600000000000001</v>
      </c>
      <c r="L39" s="38">
        <f>K39+('Business Plan &amp; DCF'!$C$7-$B$38)/5</f>
        <v>8.900000000000001E-2</v>
      </c>
      <c r="M39" s="38">
        <f>L39+('Business Plan &amp; DCF'!$C$7-$B$38)/5</f>
        <v>7.2000000000000008E-2</v>
      </c>
      <c r="N39" s="38">
        <f>M39+('Business Plan &amp; DCF'!$C$7-$B$38)/5</f>
        <v>5.5000000000000007E-2</v>
      </c>
    </row>
    <row r="40" spans="2:15" x14ac:dyDescent="0.2">
      <c r="E40" s="47">
        <f>(E38*$C$38-E38*Inputs!$C$47)*(1-Inputs!$C$30)+E38*Inputs!$C$47-E38*Inputs!$C$48-(E38-D38)*Inputs!$C$49</f>
        <v>119.925</v>
      </c>
      <c r="F40" s="47">
        <f>(F38*$C$38-F38*Inputs!$C$47)*(1-Inputs!$C$30)+F38*Inputs!$C$47-F38*Inputs!$C$48-(F38-E38)*Inputs!$C$49</f>
        <v>136.71449999999999</v>
      </c>
      <c r="G40" s="47">
        <f>(G38*$C$38-G38*Inputs!$C$47)*(1-Inputs!$C$30)+G38*Inputs!$C$47-G38*Inputs!$C$48-(G38-F38)*Inputs!$C$49</f>
        <v>155.85453000000004</v>
      </c>
      <c r="H40" s="47">
        <f>(H38*$C$38-H38*Inputs!$C$47)*(1-Inputs!$C$30)+H38*Inputs!$C$47-H38*Inputs!$C$48-(H38-G38)*Inputs!$C$49</f>
        <v>177.67416420000009</v>
      </c>
      <c r="I40" s="47">
        <f>(I38*$C$38-I38*Inputs!$C$47)*(1-Inputs!$C$30)+I38*Inputs!$C$47-I38*Inputs!$C$48-(I38-H38)*Inputs!$C$49</f>
        <v>202.5485471880001</v>
      </c>
      <c r="J40" s="47">
        <f>(J38*$C$38-J38*Inputs!$C$47)*(1-Inputs!$C$30)+J38*Inputs!$C$47-J38*Inputs!$C$48-(J38-I38)*Inputs!$C$49</f>
        <v>230.04612753692413</v>
      </c>
      <c r="K40" s="47">
        <f>(K38*$C$38-K38*Inputs!$C$47)*(1-Inputs!$C$30)+K38*Inputs!$C$47-K38*Inputs!$C$48-(K38-J38)*Inputs!$C$49</f>
        <v>257.37690136691009</v>
      </c>
      <c r="L40" s="47">
        <f>(L38*$C$38-L38*Inputs!$C$47)*(1-Inputs!$C$30)+L38*Inputs!$C$47-L38*Inputs!$C$48-(L38-K38)*Inputs!$C$49</f>
        <v>283.59167366989902</v>
      </c>
      <c r="M40" s="47">
        <f>(M38*$C$38-M38*Inputs!$C$47)*(1-Inputs!$C$30)+M38*Inputs!$C$47-M38*Inputs!$C$48-(M38-L38)*Inputs!$C$49</f>
        <v>307.66917443208706</v>
      </c>
      <c r="N40" s="47">
        <f>(N38*$C$38-N38*Inputs!$C$47)*(1-Inputs!$C$30)+N38*Inputs!$C$47-N38*Inputs!$C$48-(N38-M38)*Inputs!$C$49</f>
        <v>328.57552140676501</v>
      </c>
    </row>
    <row r="41" spans="2:15" x14ac:dyDescent="0.2">
      <c r="B41" s="72">
        <f>Sensitivity!$B$10</f>
        <v>0.18</v>
      </c>
      <c r="C41" s="72">
        <f>Sensitivity!$C$6</f>
        <v>0.18</v>
      </c>
      <c r="D41" s="11">
        <f>Inputs!$C$9</f>
        <v>750</v>
      </c>
      <c r="E41" s="47">
        <f t="shared" ref="E41:N41" si="12">D41*(1+E42)</f>
        <v>885</v>
      </c>
      <c r="F41" s="47">
        <f t="shared" si="12"/>
        <v>1044.3</v>
      </c>
      <c r="G41" s="47">
        <f t="shared" si="12"/>
        <v>1232.2739999999999</v>
      </c>
      <c r="H41" s="47">
        <f t="shared" si="12"/>
        <v>1454.0833199999997</v>
      </c>
      <c r="I41" s="47">
        <f t="shared" si="12"/>
        <v>1715.8183175999995</v>
      </c>
      <c r="J41" s="47">
        <f t="shared" si="12"/>
        <v>1981.7701568279995</v>
      </c>
      <c r="K41" s="47">
        <f t="shared" si="12"/>
        <v>2239.4002772156391</v>
      </c>
      <c r="L41" s="47">
        <f t="shared" si="12"/>
        <v>2474.537306323281</v>
      </c>
      <c r="M41" s="47">
        <f t="shared" si="12"/>
        <v>2672.5002908291435</v>
      </c>
      <c r="N41" s="47">
        <f t="shared" si="12"/>
        <v>2819.4878068247463</v>
      </c>
      <c r="O41" s="47">
        <f>E43/(1+'Business Plan &amp; DCF'!$C$6)^1+F43/(1+'Business Plan &amp; DCF'!$C$6)^2+G43/(1+'Business Plan &amp; DCF'!$C$6)^3+H43/(1+'Business Plan &amp; DCF'!$C$6)^4+I43/(1+'Business Plan &amp; DCF'!$C$6)^5+J43/(1+'Business Plan &amp; DCF'!$C$6)^6+K43/(1+'Business Plan &amp; DCF'!$C$6)^7+L43/(1+'Business Plan &amp; DCF'!$C$6)^8+M43/(1+'Business Plan &amp; DCF'!$C$6)^9+N43/(1+'Business Plan &amp; DCF'!$C$6)^10+N43*(1+'Business Plan &amp; DCF'!$C$7)/('Business Plan &amp; DCF'!$C$6-'Business Plan &amp; DCF'!$C$7)/(1+'Business Plan &amp; DCF'!$C$6)^10</f>
        <v>3231.4148126284967</v>
      </c>
    </row>
    <row r="42" spans="2:15" x14ac:dyDescent="0.2">
      <c r="E42" s="38">
        <f>$B$41</f>
        <v>0.18</v>
      </c>
      <c r="F42" s="38">
        <f>$B$41</f>
        <v>0.18</v>
      </c>
      <c r="G42" s="38">
        <f>$B$41</f>
        <v>0.18</v>
      </c>
      <c r="H42" s="38">
        <f>$B$41</f>
        <v>0.18</v>
      </c>
      <c r="I42" s="38">
        <f>$B$41</f>
        <v>0.18</v>
      </c>
      <c r="J42" s="38">
        <f>I42+('Business Plan &amp; DCF'!$C$7-$B$41)/5</f>
        <v>0.155</v>
      </c>
      <c r="K42" s="38">
        <f>J42+('Business Plan &amp; DCF'!$C$7-$B$41)/5</f>
        <v>0.13</v>
      </c>
      <c r="L42" s="38">
        <f>K42+('Business Plan &amp; DCF'!$C$7-$B$41)/5</f>
        <v>0.10500000000000001</v>
      </c>
      <c r="M42" s="38">
        <f>L42+('Business Plan &amp; DCF'!$C$7-$B$41)/5</f>
        <v>8.0000000000000016E-2</v>
      </c>
      <c r="N42" s="38">
        <f>M42+('Business Plan &amp; DCF'!$C$7-$B$41)/5</f>
        <v>5.5000000000000014E-2</v>
      </c>
    </row>
    <row r="43" spans="2:15" x14ac:dyDescent="0.2">
      <c r="E43" s="47">
        <f>(E41*$C$41-E41*Inputs!$C$47)*(1-Inputs!$C$30)+E41*Inputs!$C$47-E41*Inputs!$C$48-(E41-D41)*Inputs!$C$49</f>
        <v>81.149999999999991</v>
      </c>
      <c r="F43" s="47">
        <f>(F41*$C$41-F41*Inputs!$C$47)*(1-Inputs!$C$30)+F41*Inputs!$C$47-F41*Inputs!$C$48-(F41-E41)*Inputs!$C$49</f>
        <v>95.757000000000005</v>
      </c>
      <c r="G43" s="47">
        <f>(G41*$C$41-G41*Inputs!$C$47)*(1-Inputs!$C$30)+G41*Inputs!$C$47-G41*Inputs!$C$48-(G41-F41)*Inputs!$C$49</f>
        <v>112.99326000000001</v>
      </c>
      <c r="H43" s="47">
        <f>(H41*$C$41-H41*Inputs!$C$47)*(1-Inputs!$C$30)+H41*Inputs!$C$47-H41*Inputs!$C$48-(H41-G41)*Inputs!$C$49</f>
        <v>133.33204679999997</v>
      </c>
      <c r="I43" s="47">
        <f>(I41*$C$41-I41*Inputs!$C$47)*(1-Inputs!$C$30)+I41*Inputs!$C$47-I41*Inputs!$C$48-(I41-H41)*Inputs!$C$49</f>
        <v>157.33181522399997</v>
      </c>
      <c r="J43" s="47">
        <f>(J41*$C$41-J41*Inputs!$C$47)*(1-Inputs!$C$30)+J41*Inputs!$C$47-J41*Inputs!$C$48-(J41-I41)*Inputs!$C$49</f>
        <v>186.08049654371993</v>
      </c>
      <c r="K43" s="47">
        <f>(K41*$C$41-K41*Inputs!$C$47)*(1-Inputs!$C$30)+K41*Inputs!$C$47-K41*Inputs!$C$48-(K41-J41)*Inputs!$C$49</f>
        <v>215.41841604720355</v>
      </c>
      <c r="L43" s="47">
        <f>(L41*$C$41-L41*Inputs!$C$47)*(1-Inputs!$C$30)+L41*Inputs!$C$47-L41*Inputs!$C$48-(L41-K41)*Inputs!$C$49</f>
        <v>243.98266020264387</v>
      </c>
      <c r="M43" s="47">
        <f>(M41*$C$41-M41*Inputs!$C$47)*(1-Inputs!$C$30)+M41*Inputs!$C$47-M41*Inputs!$C$48-(M41-L41)*Inputs!$C$49</f>
        <v>270.21947385050225</v>
      </c>
      <c r="N43" s="47">
        <f>(N41*$C$41-N41*Inputs!$C$47)*(1-Inputs!$C$30)+N41*Inputs!$C$47-N41*Inputs!$C$48-(N41-M41)*Inputs!$C$49</f>
        <v>292.50515683124974</v>
      </c>
    </row>
    <row r="44" spans="2:15" x14ac:dyDescent="0.2">
      <c r="B44" s="72">
        <f>Sensitivity!$B$10</f>
        <v>0.18</v>
      </c>
      <c r="C44" s="72">
        <f>Sensitivity!$D$6</f>
        <v>0.2</v>
      </c>
      <c r="D44" s="11">
        <f>Inputs!$C$9</f>
        <v>750</v>
      </c>
      <c r="E44" s="47">
        <f t="shared" ref="E44:N44" si="13">D44*(1+E45)</f>
        <v>885</v>
      </c>
      <c r="F44" s="47">
        <f t="shared" si="13"/>
        <v>1044.3</v>
      </c>
      <c r="G44" s="47">
        <f t="shared" si="13"/>
        <v>1232.2739999999999</v>
      </c>
      <c r="H44" s="47">
        <f t="shared" si="13"/>
        <v>1454.0833199999997</v>
      </c>
      <c r="I44" s="47">
        <f t="shared" si="13"/>
        <v>1715.8183175999995</v>
      </c>
      <c r="J44" s="47">
        <f t="shared" si="13"/>
        <v>1981.7701568279995</v>
      </c>
      <c r="K44" s="47">
        <f t="shared" si="13"/>
        <v>2239.4002772156391</v>
      </c>
      <c r="L44" s="47">
        <f t="shared" si="13"/>
        <v>2474.537306323281</v>
      </c>
      <c r="M44" s="47">
        <f t="shared" si="13"/>
        <v>2672.5002908291435</v>
      </c>
      <c r="N44" s="47">
        <f t="shared" si="13"/>
        <v>2819.4878068247463</v>
      </c>
      <c r="O44" s="47">
        <f>E46/(1+'Business Plan &amp; DCF'!$C$6)^1+F46/(1+'Business Plan &amp; DCF'!$C$6)^2+G46/(1+'Business Plan &amp; DCF'!$C$6)^3+H46/(1+'Business Plan &amp; DCF'!$C$6)^4+I46/(1+'Business Plan &amp; DCF'!$C$6)^5+J46/(1+'Business Plan &amp; DCF'!$C$6)^6+K46/(1+'Business Plan &amp; DCF'!$C$6)^7+L46/(1+'Business Plan &amp; DCF'!$C$6)^8+M46/(1+'Business Plan &amp; DCF'!$C$6)^9+N46/(1+'Business Plan &amp; DCF'!$C$6)^10+N46*(1+'Business Plan &amp; DCF'!$C$7)/('Business Plan &amp; DCF'!$C$6-'Business Plan &amp; DCF'!$C$7)/(1+'Business Plan &amp; DCF'!$C$6)^10</f>
        <v>3710.631889446463</v>
      </c>
    </row>
    <row r="45" spans="2:15" x14ac:dyDescent="0.2">
      <c r="E45" s="38">
        <f>$B$44</f>
        <v>0.18</v>
      </c>
      <c r="F45" s="38">
        <f>$B$44</f>
        <v>0.18</v>
      </c>
      <c r="G45" s="38">
        <f>$B$44</f>
        <v>0.18</v>
      </c>
      <c r="H45" s="38">
        <f>$B$44</f>
        <v>0.18</v>
      </c>
      <c r="I45" s="38">
        <f>$B$44</f>
        <v>0.18</v>
      </c>
      <c r="J45" s="38">
        <f>I45+('Business Plan &amp; DCF'!$C$7-$B$44)/5</f>
        <v>0.155</v>
      </c>
      <c r="K45" s="38">
        <f>J45+('Business Plan &amp; DCF'!$C$7-$B$44)/5</f>
        <v>0.13</v>
      </c>
      <c r="L45" s="38">
        <f>K45+('Business Plan &amp; DCF'!$C$7-$B$44)/5</f>
        <v>0.10500000000000001</v>
      </c>
      <c r="M45" s="38">
        <f>L45+('Business Plan &amp; DCF'!$C$7-$B$44)/5</f>
        <v>8.0000000000000016E-2</v>
      </c>
      <c r="N45" s="38">
        <f>M45+('Business Plan &amp; DCF'!$C$7-$B$44)/5</f>
        <v>5.5000000000000014E-2</v>
      </c>
    </row>
    <row r="46" spans="2:15" x14ac:dyDescent="0.2">
      <c r="E46" s="47">
        <f>(E44*$C$44-E44*Inputs!$C$47)*(1-Inputs!$C$30)+E44*Inputs!$C$47-E44*Inputs!$C$48-(E44-D44)*Inputs!$C$49</f>
        <v>94.425000000000011</v>
      </c>
      <c r="F46" s="47">
        <f>(F44*$C$44-F44*Inputs!$C$47)*(1-Inputs!$C$30)+F44*Inputs!$C$47-F44*Inputs!$C$48-(F44-E44)*Inputs!$C$49</f>
        <v>111.42150000000001</v>
      </c>
      <c r="G46" s="47">
        <f>(G44*$C$44-G44*Inputs!$C$47)*(1-Inputs!$C$30)+G44*Inputs!$C$47-G44*Inputs!$C$48-(G44-F44)*Inputs!$C$49</f>
        <v>131.47737000000001</v>
      </c>
      <c r="H46" s="47">
        <f>(H44*$C$44-H44*Inputs!$C$47)*(1-Inputs!$C$30)+H44*Inputs!$C$47-H44*Inputs!$C$48-(H44-G44)*Inputs!$C$49</f>
        <v>155.14329659999996</v>
      </c>
      <c r="I46" s="47">
        <f>(I44*$C$44-I44*Inputs!$C$47)*(1-Inputs!$C$30)+I44*Inputs!$C$47-I44*Inputs!$C$48-(I44-H44)*Inputs!$C$49</f>
        <v>183.06908998799997</v>
      </c>
      <c r="J46" s="47">
        <f>(J44*$C$44-J44*Inputs!$C$47)*(1-Inputs!$C$30)+J44*Inputs!$C$47-J44*Inputs!$C$48-(J44-I44)*Inputs!$C$49</f>
        <v>215.80704889613995</v>
      </c>
      <c r="K46" s="47">
        <f>(K44*$C$44-K44*Inputs!$C$47)*(1-Inputs!$C$30)+K44*Inputs!$C$47-K44*Inputs!$C$48-(K44-J44)*Inputs!$C$49</f>
        <v>249.00942020543812</v>
      </c>
      <c r="L46" s="47">
        <f>(L44*$C$44-L44*Inputs!$C$47)*(1-Inputs!$C$30)+L44*Inputs!$C$47-L44*Inputs!$C$48-(L44-K44)*Inputs!$C$49</f>
        <v>281.10071979749307</v>
      </c>
      <c r="M46" s="47">
        <f>(M44*$C$44-M44*Inputs!$C$47)*(1-Inputs!$C$30)+M44*Inputs!$C$47-M44*Inputs!$C$48-(M44-L44)*Inputs!$C$49</f>
        <v>310.30697821293944</v>
      </c>
      <c r="N46" s="47">
        <f>(N44*$C$44-N44*Inputs!$C$47)*(1-Inputs!$C$30)+N44*Inputs!$C$47-N44*Inputs!$C$48-(N44-M44)*Inputs!$C$49</f>
        <v>334.79747393362101</v>
      </c>
    </row>
    <row r="47" spans="2:15" x14ac:dyDescent="0.2">
      <c r="B47" s="72">
        <f>Sensitivity!$B$10</f>
        <v>0.18</v>
      </c>
      <c r="C47" s="72">
        <f>Sensitivity!$E$6</f>
        <v>0.22</v>
      </c>
      <c r="D47" s="11">
        <f>Inputs!$C$9</f>
        <v>750</v>
      </c>
      <c r="E47" s="47">
        <f t="shared" ref="E47:N47" si="14">D47*(1+E48)</f>
        <v>885</v>
      </c>
      <c r="F47" s="47">
        <f t="shared" si="14"/>
        <v>1044.3</v>
      </c>
      <c r="G47" s="47">
        <f t="shared" si="14"/>
        <v>1232.2739999999999</v>
      </c>
      <c r="H47" s="47">
        <f t="shared" si="14"/>
        <v>1454.0833199999997</v>
      </c>
      <c r="I47" s="47">
        <f t="shared" si="14"/>
        <v>1715.8183175999995</v>
      </c>
      <c r="J47" s="47">
        <f t="shared" si="14"/>
        <v>1981.7701568279995</v>
      </c>
      <c r="K47" s="47">
        <f t="shared" si="14"/>
        <v>2239.4002772156391</v>
      </c>
      <c r="L47" s="47">
        <f t="shared" si="14"/>
        <v>2474.537306323281</v>
      </c>
      <c r="M47" s="47">
        <f t="shared" si="14"/>
        <v>2672.5002908291435</v>
      </c>
      <c r="N47" s="47">
        <f t="shared" si="14"/>
        <v>2819.4878068247463</v>
      </c>
      <c r="O47" s="47">
        <f>E49/(1+'Business Plan &amp; DCF'!$C$6)^1+F49/(1+'Business Plan &amp; DCF'!$C$6)^2+G49/(1+'Business Plan &amp; DCF'!$C$6)^3+H49/(1+'Business Plan &amp; DCF'!$C$6)^4+I49/(1+'Business Plan &amp; DCF'!$C$6)^5+J49/(1+'Business Plan &amp; DCF'!$C$6)^6+K49/(1+'Business Plan &amp; DCF'!$C$6)^7+L49/(1+'Business Plan &amp; DCF'!$C$6)^8+M49/(1+'Business Plan &amp; DCF'!$C$6)^9+N49/(1+'Business Plan &amp; DCF'!$C$6)^10+N49*(1+'Business Plan &amp; DCF'!$C$7)/('Business Plan &amp; DCF'!$C$6-'Business Plan &amp; DCF'!$C$7)/(1+'Business Plan &amp; DCF'!$C$6)^10</f>
        <v>4189.8489662644279</v>
      </c>
    </row>
    <row r="48" spans="2:15" x14ac:dyDescent="0.2">
      <c r="E48" s="38">
        <f>$B$47</f>
        <v>0.18</v>
      </c>
      <c r="F48" s="38">
        <f>$B$47</f>
        <v>0.18</v>
      </c>
      <c r="G48" s="38">
        <f>$B$47</f>
        <v>0.18</v>
      </c>
      <c r="H48" s="38">
        <f>$B$47</f>
        <v>0.18</v>
      </c>
      <c r="I48" s="38">
        <f>$B$47</f>
        <v>0.18</v>
      </c>
      <c r="J48" s="38">
        <f>I48+('Business Plan &amp; DCF'!$C$7-$B$47)/5</f>
        <v>0.155</v>
      </c>
      <c r="K48" s="38">
        <f>J48+('Business Plan &amp; DCF'!$C$7-$B$47)/5</f>
        <v>0.13</v>
      </c>
      <c r="L48" s="38">
        <f>K48+('Business Plan &amp; DCF'!$C$7-$B$47)/5</f>
        <v>0.10500000000000001</v>
      </c>
      <c r="M48" s="38">
        <f>L48+('Business Plan &amp; DCF'!$C$7-$B$47)/5</f>
        <v>8.0000000000000016E-2</v>
      </c>
      <c r="N48" s="38">
        <f>M48+('Business Plan &amp; DCF'!$C$7-$B$47)/5</f>
        <v>5.5000000000000014E-2</v>
      </c>
    </row>
    <row r="49" spans="2:15" x14ac:dyDescent="0.2">
      <c r="E49" s="47">
        <f>(E47*$C$47-E47*Inputs!$C$47)*(1-Inputs!$C$30)+E47*Inputs!$C$47-E47*Inputs!$C$48-(E47-D47)*Inputs!$C$49</f>
        <v>107.69999999999999</v>
      </c>
      <c r="F49" s="47">
        <f>(F47*$C$47-F47*Inputs!$C$47)*(1-Inputs!$C$30)+F47*Inputs!$C$47-F47*Inputs!$C$48-(F47-E47)*Inputs!$C$49</f>
        <v>127.08599999999998</v>
      </c>
      <c r="G49" s="47">
        <f>(G47*$C$47-G47*Inputs!$C$47)*(1-Inputs!$C$30)+G47*Inputs!$C$47-G47*Inputs!$C$48-(G47-F47)*Inputs!$C$49</f>
        <v>149.96147999999999</v>
      </c>
      <c r="H49" s="47">
        <f>(H47*$C$47-H47*Inputs!$C$47)*(1-Inputs!$C$30)+H47*Inputs!$C$47-H47*Inputs!$C$48-(H47-G47)*Inputs!$C$49</f>
        <v>176.95454639999997</v>
      </c>
      <c r="I49" s="47">
        <f>(I47*$C$47-I47*Inputs!$C$47)*(1-Inputs!$C$30)+I47*Inputs!$C$47-I47*Inputs!$C$48-(I47-H47)*Inputs!$C$49</f>
        <v>208.80636475199998</v>
      </c>
      <c r="J49" s="47">
        <f>(J47*$C$47-J47*Inputs!$C$47)*(1-Inputs!$C$30)+J47*Inputs!$C$47-J47*Inputs!$C$48-(J47-I47)*Inputs!$C$49</f>
        <v>245.53360124855996</v>
      </c>
      <c r="K49" s="47">
        <f>(K47*$C$47-K47*Inputs!$C$47)*(1-Inputs!$C$30)+K47*Inputs!$C$47-K47*Inputs!$C$48-(K47-J47)*Inputs!$C$49</f>
        <v>282.60042436367269</v>
      </c>
      <c r="L49" s="47">
        <f>(L47*$C$47-L47*Inputs!$C$47)*(1-Inputs!$C$30)+L47*Inputs!$C$47-L47*Inputs!$C$48-(L47-K47)*Inputs!$C$49</f>
        <v>318.2187793923423</v>
      </c>
      <c r="M49" s="47">
        <f>(M47*$C$47-M47*Inputs!$C$47)*(1-Inputs!$C$30)+M47*Inputs!$C$47-M47*Inputs!$C$48-(M47-L47)*Inputs!$C$49</f>
        <v>350.39448257537657</v>
      </c>
      <c r="N49" s="47">
        <f>(N47*$C$47-N47*Inputs!$C$47)*(1-Inputs!$C$30)+N47*Inputs!$C$47-N47*Inputs!$C$48-(N47-M47)*Inputs!$C$49</f>
        <v>377.08979103599216</v>
      </c>
    </row>
    <row r="50" spans="2:15" x14ac:dyDescent="0.2">
      <c r="B50" s="72">
        <f>Sensitivity!$B$10</f>
        <v>0.18</v>
      </c>
      <c r="C50" s="72">
        <f>Sensitivity!$F$6</f>
        <v>0.24</v>
      </c>
      <c r="D50" s="11">
        <f>Inputs!$C$9</f>
        <v>750</v>
      </c>
      <c r="E50" s="47">
        <f t="shared" ref="E50:N50" si="15">D50*(1+E51)</f>
        <v>885</v>
      </c>
      <c r="F50" s="47">
        <f t="shared" si="15"/>
        <v>1044.3</v>
      </c>
      <c r="G50" s="47">
        <f t="shared" si="15"/>
        <v>1232.2739999999999</v>
      </c>
      <c r="H50" s="47">
        <f t="shared" si="15"/>
        <v>1454.0833199999997</v>
      </c>
      <c r="I50" s="47">
        <f t="shared" si="15"/>
        <v>1715.8183175999995</v>
      </c>
      <c r="J50" s="47">
        <f t="shared" si="15"/>
        <v>1981.7701568279995</v>
      </c>
      <c r="K50" s="47">
        <f t="shared" si="15"/>
        <v>2239.4002772156391</v>
      </c>
      <c r="L50" s="47">
        <f t="shared" si="15"/>
        <v>2474.537306323281</v>
      </c>
      <c r="M50" s="47">
        <f t="shared" si="15"/>
        <v>2672.5002908291435</v>
      </c>
      <c r="N50" s="47">
        <f t="shared" si="15"/>
        <v>2819.4878068247463</v>
      </c>
      <c r="O50" s="47">
        <f>E52/(1+'Business Plan &amp; DCF'!$C$6)^1+F52/(1+'Business Plan &amp; DCF'!$C$6)^2+G52/(1+'Business Plan &amp; DCF'!$C$6)^3+H52/(1+'Business Plan &amp; DCF'!$C$6)^4+I52/(1+'Business Plan &amp; DCF'!$C$6)^5+J52/(1+'Business Plan &amp; DCF'!$C$6)^6+K52/(1+'Business Plan &amp; DCF'!$C$6)^7+L52/(1+'Business Plan &amp; DCF'!$C$6)^8+M52/(1+'Business Plan &amp; DCF'!$C$6)^9+N52/(1+'Business Plan &amp; DCF'!$C$6)^10+N52*(1+'Business Plan &amp; DCF'!$C$7)/('Business Plan &amp; DCF'!$C$6-'Business Plan &amp; DCF'!$C$7)/(1+'Business Plan &amp; DCF'!$C$6)^10</f>
        <v>4669.0660430823937</v>
      </c>
    </row>
    <row r="51" spans="2:15" x14ac:dyDescent="0.2">
      <c r="E51" s="38">
        <f>$B$50</f>
        <v>0.18</v>
      </c>
      <c r="F51" s="38">
        <f>$B$50</f>
        <v>0.18</v>
      </c>
      <c r="G51" s="38">
        <f>$B$50</f>
        <v>0.18</v>
      </c>
      <c r="H51" s="38">
        <f>$B$50</f>
        <v>0.18</v>
      </c>
      <c r="I51" s="38">
        <f>$B$50</f>
        <v>0.18</v>
      </c>
      <c r="J51" s="38">
        <f>I51+('Business Plan &amp; DCF'!$C$7-$B$50)/5</f>
        <v>0.155</v>
      </c>
      <c r="K51" s="38">
        <f>J51+('Business Plan &amp; DCF'!$C$7-$B$50)/5</f>
        <v>0.13</v>
      </c>
      <c r="L51" s="38">
        <f>K51+('Business Plan &amp; DCF'!$C$7-$B$50)/5</f>
        <v>0.10500000000000001</v>
      </c>
      <c r="M51" s="38">
        <f>L51+('Business Plan &amp; DCF'!$C$7-$B$50)/5</f>
        <v>8.0000000000000016E-2</v>
      </c>
      <c r="N51" s="38">
        <f>M51+('Business Plan &amp; DCF'!$C$7-$B$50)/5</f>
        <v>5.5000000000000014E-2</v>
      </c>
    </row>
    <row r="52" spans="2:15" x14ac:dyDescent="0.2">
      <c r="E52" s="47">
        <f>(E50*$C$50-E50*Inputs!$C$47)*(1-Inputs!$C$30)+E50*Inputs!$C$47-E50*Inputs!$C$48-(E50-D50)*Inputs!$C$49</f>
        <v>120.97499999999998</v>
      </c>
      <c r="F52" s="47">
        <f>(F50*$C$50-F50*Inputs!$C$47)*(1-Inputs!$C$30)+F50*Inputs!$C$47-F50*Inputs!$C$48-(F50-E50)*Inputs!$C$49</f>
        <v>142.75049999999999</v>
      </c>
      <c r="G52" s="47">
        <f>(G50*$C$50-G50*Inputs!$C$47)*(1-Inputs!$C$30)+G50*Inputs!$C$47-G50*Inputs!$C$48-(G50-F50)*Inputs!$C$49</f>
        <v>168.44558999999998</v>
      </c>
      <c r="H52" s="47">
        <f>(H50*$C$50-H50*Inputs!$C$47)*(1-Inputs!$C$30)+H50*Inputs!$C$47-H50*Inputs!$C$48-(H50-G50)*Inputs!$C$49</f>
        <v>198.76579619999998</v>
      </c>
      <c r="I52" s="47">
        <f>(I50*$C$50-I50*Inputs!$C$47)*(1-Inputs!$C$30)+I50*Inputs!$C$47-I50*Inputs!$C$48-(I50-H50)*Inputs!$C$49</f>
        <v>234.54363951599996</v>
      </c>
      <c r="J52" s="47">
        <f>(J50*$C$50-J50*Inputs!$C$47)*(1-Inputs!$C$30)+J50*Inputs!$C$47-J50*Inputs!$C$48-(J50-I50)*Inputs!$C$49</f>
        <v>275.26015360097989</v>
      </c>
      <c r="K52" s="47">
        <f>(K50*$C$50-K50*Inputs!$C$47)*(1-Inputs!$C$30)+K50*Inputs!$C$47-K50*Inputs!$C$48-(K50-J50)*Inputs!$C$49</f>
        <v>316.19142852190726</v>
      </c>
      <c r="L52" s="47">
        <f>(L50*$C$50-L50*Inputs!$C$47)*(1-Inputs!$C$30)+L50*Inputs!$C$47-L50*Inputs!$C$48-(L50-K50)*Inputs!$C$49</f>
        <v>355.33683898719153</v>
      </c>
      <c r="M52" s="47">
        <f>(M50*$C$50-M50*Inputs!$C$47)*(1-Inputs!$C$30)+M50*Inputs!$C$47-M50*Inputs!$C$48-(M50-L50)*Inputs!$C$49</f>
        <v>390.4819869378137</v>
      </c>
      <c r="N52" s="47">
        <f>(N50*$C$50-N50*Inputs!$C$47)*(1-Inputs!$C$30)+N50*Inputs!$C$47-N50*Inputs!$C$48-(N50-M50)*Inputs!$C$49</f>
        <v>419.38210813836332</v>
      </c>
    </row>
    <row r="53" spans="2:15" x14ac:dyDescent="0.2">
      <c r="B53" s="72">
        <f>Sensitivity!$B$11</f>
        <v>0.22</v>
      </c>
      <c r="C53" s="72">
        <f>Sensitivity!$C$6</f>
        <v>0.18</v>
      </c>
      <c r="D53" s="11">
        <f>Inputs!$C$9</f>
        <v>750</v>
      </c>
      <c r="E53" s="47">
        <f t="shared" ref="E53:N53" si="16">D53*(1+E54)</f>
        <v>915</v>
      </c>
      <c r="F53" s="47">
        <f t="shared" si="16"/>
        <v>1116.3</v>
      </c>
      <c r="G53" s="47">
        <f t="shared" si="16"/>
        <v>1361.886</v>
      </c>
      <c r="H53" s="47">
        <f t="shared" si="16"/>
        <v>1661.50092</v>
      </c>
      <c r="I53" s="47">
        <f t="shared" si="16"/>
        <v>2027.0311224</v>
      </c>
      <c r="J53" s="47">
        <f t="shared" si="16"/>
        <v>2406.0859422888002</v>
      </c>
      <c r="K53" s="47">
        <f t="shared" si="16"/>
        <v>2776.6231774012754</v>
      </c>
      <c r="L53" s="47">
        <f t="shared" si="16"/>
        <v>3112.5945818668297</v>
      </c>
      <c r="M53" s="47">
        <f t="shared" si="16"/>
        <v>3386.5029050711109</v>
      </c>
      <c r="N53" s="47">
        <f t="shared" si="16"/>
        <v>3572.7605648500216</v>
      </c>
      <c r="O53" s="47">
        <f>E55/(1+'Business Plan &amp; DCF'!$C$6)^1+F55/(1+'Business Plan &amp; DCF'!$C$6)^2+G55/(1+'Business Plan &amp; DCF'!$C$6)^3+H55/(1+'Business Plan &amp; DCF'!$C$6)^4+I55/(1+'Business Plan &amp; DCF'!$C$6)^5+J55/(1+'Business Plan &amp; DCF'!$C$6)^6+K55/(1+'Business Plan &amp; DCF'!$C$6)^7+L55/(1+'Business Plan &amp; DCF'!$C$6)^8+M55/(1+'Business Plan &amp; DCF'!$C$6)^9+N55/(1+'Business Plan &amp; DCF'!$C$6)^10+N55*(1+'Business Plan &amp; DCF'!$C$7)/('Business Plan &amp; DCF'!$C$6-'Business Plan &amp; DCF'!$C$7)/(1+'Business Plan &amp; DCF'!$C$6)^10</f>
        <v>3992.7630742820634</v>
      </c>
    </row>
    <row r="54" spans="2:15" x14ac:dyDescent="0.2">
      <c r="E54" s="38">
        <f>$B$53</f>
        <v>0.22</v>
      </c>
      <c r="F54" s="38">
        <f>$B$53</f>
        <v>0.22</v>
      </c>
      <c r="G54" s="38">
        <f>$B$53</f>
        <v>0.22</v>
      </c>
      <c r="H54" s="38">
        <f>$B$53</f>
        <v>0.22</v>
      </c>
      <c r="I54" s="38">
        <f>$B$53</f>
        <v>0.22</v>
      </c>
      <c r="J54" s="38">
        <f>I54+('Business Plan &amp; DCF'!$C$7-$B$53)/5</f>
        <v>0.187</v>
      </c>
      <c r="K54" s="38">
        <f>J54+('Business Plan &amp; DCF'!$C$7-$B$53)/5</f>
        <v>0.154</v>
      </c>
      <c r="L54" s="38">
        <f>K54+('Business Plan &amp; DCF'!$C$7-$B$53)/5</f>
        <v>0.121</v>
      </c>
      <c r="M54" s="38">
        <f>L54+('Business Plan &amp; DCF'!$C$7-$B$53)/5</f>
        <v>8.7999999999999995E-2</v>
      </c>
      <c r="N54" s="38">
        <f>M54+('Business Plan &amp; DCF'!$C$7-$B$53)/5</f>
        <v>5.4999999999999993E-2</v>
      </c>
    </row>
    <row r="55" spans="2:15" x14ac:dyDescent="0.2">
      <c r="E55" s="47">
        <f>(E53*$C$53-E53*Inputs!$C$47)*(1-Inputs!$C$30)+E53*Inputs!$C$47-E53*Inputs!$C$48-(E53-D53)*Inputs!$C$49</f>
        <v>80.849999999999994</v>
      </c>
      <c r="F55" s="47">
        <f>(F53*$C$53-F53*Inputs!$C$47)*(1-Inputs!$C$30)+F53*Inputs!$C$47-F53*Inputs!$C$48-(F53-E53)*Inputs!$C$49</f>
        <v>98.637000000000015</v>
      </c>
      <c r="G55" s="47">
        <f>(G53*$C$53-G53*Inputs!$C$47)*(1-Inputs!$C$30)+G53*Inputs!$C$47-G53*Inputs!$C$48-(G53-F53)*Inputs!$C$49</f>
        <v>120.33713999999999</v>
      </c>
      <c r="H55" s="47">
        <f>(H53*$C$53-H53*Inputs!$C$47)*(1-Inputs!$C$30)+H53*Inputs!$C$47-H53*Inputs!$C$48-(H53-G53)*Inputs!$C$49</f>
        <v>146.8113108</v>
      </c>
      <c r="I55" s="47">
        <f>(I53*$C$53-I53*Inputs!$C$47)*(1-Inputs!$C$30)+I53*Inputs!$C$47-I53*Inputs!$C$48-(I53-H53)*Inputs!$C$49</f>
        <v>179.10979917599997</v>
      </c>
      <c r="J55" s="47">
        <f>(J53*$C$53-J53*Inputs!$C$47)*(1-Inputs!$C$30)+J53*Inputs!$C$47-J53*Inputs!$C$48-(J53-I53)*Inputs!$C$49</f>
        <v>219.18287526511196</v>
      </c>
      <c r="K55" s="47">
        <f>(K53*$C$53-K53*Inputs!$C$47)*(1-Inputs!$C$30)+K53*Inputs!$C$47-K53*Inputs!$C$48-(K53-J53)*Inputs!$C$49</f>
        <v>260.96408130064327</v>
      </c>
      <c r="L55" s="47">
        <f>(L53*$C$53-L53*Inputs!$C$47)*(1-Inputs!$C$30)+L53*Inputs!$C$47-L53*Inputs!$C$48-(L53-K53)*Inputs!$C$49</f>
        <v>302.06883546948467</v>
      </c>
      <c r="M55" s="47">
        <f>(M53*$C$53-M53*Inputs!$C$47)*(1-Inputs!$C$30)+M53*Inputs!$C$47-M53*Inputs!$C$48-(M53-L53)*Inputs!$C$49</f>
        <v>339.64632077330845</v>
      </c>
      <c r="N55" s="47">
        <f>(N53*$C$53-N53*Inputs!$C$47)*(1-Inputs!$C$30)+N53*Inputs!$C$47-N53*Inputs!$C$48-(N53-M53)*Inputs!$C$49</f>
        <v>370.65274296003309</v>
      </c>
    </row>
    <row r="56" spans="2:15" x14ac:dyDescent="0.2">
      <c r="B56" s="72">
        <f>Sensitivity!$B$11</f>
        <v>0.22</v>
      </c>
      <c r="C56" s="72">
        <f>Sensitivity!$D$6</f>
        <v>0.2</v>
      </c>
      <c r="D56" s="11">
        <f>Inputs!$C$9</f>
        <v>750</v>
      </c>
      <c r="E56" s="47">
        <f t="shared" ref="E56:N56" si="17">D56*(1+E57)</f>
        <v>915</v>
      </c>
      <c r="F56" s="47">
        <f t="shared" si="17"/>
        <v>1116.3</v>
      </c>
      <c r="G56" s="47">
        <f t="shared" si="17"/>
        <v>1361.886</v>
      </c>
      <c r="H56" s="47">
        <f t="shared" si="17"/>
        <v>1661.50092</v>
      </c>
      <c r="I56" s="47">
        <f t="shared" si="17"/>
        <v>2027.0311224</v>
      </c>
      <c r="J56" s="47">
        <f t="shared" si="17"/>
        <v>2406.0859422888002</v>
      </c>
      <c r="K56" s="47">
        <f t="shared" si="17"/>
        <v>2776.6231774012754</v>
      </c>
      <c r="L56" s="47">
        <f t="shared" si="17"/>
        <v>3112.5945818668297</v>
      </c>
      <c r="M56" s="47">
        <f t="shared" si="17"/>
        <v>3386.5029050711109</v>
      </c>
      <c r="N56" s="47">
        <f t="shared" si="17"/>
        <v>3572.7605648500216</v>
      </c>
      <c r="O56" s="47">
        <f>E58/(1+'Business Plan &amp; DCF'!$C$6)^1+F58/(1+'Business Plan &amp; DCF'!$C$6)^2+G58/(1+'Business Plan &amp; DCF'!$C$6)^3+H58/(1+'Business Plan &amp; DCF'!$C$6)^4+I58/(1+'Business Plan &amp; DCF'!$C$6)^5+J58/(1+'Business Plan &amp; DCF'!$C$6)^6+K58/(1+'Business Plan &amp; DCF'!$C$6)^7+L58/(1+'Business Plan &amp; DCF'!$C$6)^8+M58/(1+'Business Plan &amp; DCF'!$C$6)^9+N58/(1+'Business Plan &amp; DCF'!$C$6)^10+N58*(1+'Business Plan &amp; DCF'!$C$7)/('Business Plan &amp; DCF'!$C$6-'Business Plan &amp; DCF'!$C$7)/(1+'Business Plan &amp; DCF'!$C$6)^10</f>
        <v>4587.8071124300695</v>
      </c>
    </row>
    <row r="57" spans="2:15" x14ac:dyDescent="0.2">
      <c r="E57" s="38">
        <f>$B$56</f>
        <v>0.22</v>
      </c>
      <c r="F57" s="38">
        <f>$B$56</f>
        <v>0.22</v>
      </c>
      <c r="G57" s="38">
        <f>$B$56</f>
        <v>0.22</v>
      </c>
      <c r="H57" s="38">
        <f>$B$56</f>
        <v>0.22</v>
      </c>
      <c r="I57" s="38">
        <f>$B$56</f>
        <v>0.22</v>
      </c>
      <c r="J57" s="38">
        <f>I57+('Business Plan &amp; DCF'!$C$7-$B$56)/5</f>
        <v>0.187</v>
      </c>
      <c r="K57" s="38">
        <f>J57+('Business Plan &amp; DCF'!$C$7-$B$56)/5</f>
        <v>0.154</v>
      </c>
      <c r="L57" s="38">
        <f>K57+('Business Plan &amp; DCF'!$C$7-$B$56)/5</f>
        <v>0.121</v>
      </c>
      <c r="M57" s="38">
        <f>L57+('Business Plan &amp; DCF'!$C$7-$B$56)/5</f>
        <v>8.7999999999999995E-2</v>
      </c>
      <c r="N57" s="38">
        <f>M57+('Business Plan &amp; DCF'!$C$7-$B$56)/5</f>
        <v>5.4999999999999993E-2</v>
      </c>
    </row>
    <row r="58" spans="2:15" x14ac:dyDescent="0.2">
      <c r="E58" s="47">
        <f>(E56*$C$56-E56*Inputs!$C$47)*(1-Inputs!$C$30)+E56*Inputs!$C$47-E56*Inputs!$C$48-(E56-D56)*Inputs!$C$49</f>
        <v>94.574999999999989</v>
      </c>
      <c r="F58" s="47">
        <f>(F56*$C$56-F56*Inputs!$C$47)*(1-Inputs!$C$30)+F56*Inputs!$C$47-F56*Inputs!$C$48-(F56-E56)*Inputs!$C$49</f>
        <v>115.3815</v>
      </c>
      <c r="G58" s="47">
        <f>(G56*$C$56-G56*Inputs!$C$47)*(1-Inputs!$C$30)+G56*Inputs!$C$47-G56*Inputs!$C$48-(G56-F56)*Inputs!$C$49</f>
        <v>140.76542999999998</v>
      </c>
      <c r="H58" s="47">
        <f>(H56*$C$56-H56*Inputs!$C$47)*(1-Inputs!$C$30)+H56*Inputs!$C$47-H56*Inputs!$C$48-(H56-G56)*Inputs!$C$49</f>
        <v>171.73382459999999</v>
      </c>
      <c r="I58" s="47">
        <f>(I56*$C$56-I56*Inputs!$C$47)*(1-Inputs!$C$30)+I56*Inputs!$C$47-I56*Inputs!$C$48-(I56-H56)*Inputs!$C$49</f>
        <v>209.51526601199998</v>
      </c>
      <c r="J58" s="47">
        <f>(J56*$C$56-J56*Inputs!$C$47)*(1-Inputs!$C$30)+J56*Inputs!$C$47-J56*Inputs!$C$48-(J56-I56)*Inputs!$C$49</f>
        <v>255.27416439944406</v>
      </c>
      <c r="K58" s="47">
        <f>(K56*$C$56-K56*Inputs!$C$47)*(1-Inputs!$C$30)+K56*Inputs!$C$47-K56*Inputs!$C$48-(K56-J56)*Inputs!$C$49</f>
        <v>302.61342896166241</v>
      </c>
      <c r="L58" s="47">
        <f>(L56*$C$56-L56*Inputs!$C$47)*(1-Inputs!$C$30)+L56*Inputs!$C$47-L56*Inputs!$C$48-(L56-K56)*Inputs!$C$49</f>
        <v>348.75775419748726</v>
      </c>
      <c r="M58" s="47">
        <f>(M56*$C$56-M56*Inputs!$C$47)*(1-Inputs!$C$30)+M56*Inputs!$C$47-M56*Inputs!$C$48-(M56-L56)*Inputs!$C$49</f>
        <v>390.44386434937519</v>
      </c>
      <c r="N58" s="47">
        <f>(N56*$C$56-N56*Inputs!$C$47)*(1-Inputs!$C$30)+N56*Inputs!$C$47-N56*Inputs!$C$48-(N56-M56)*Inputs!$C$49</f>
        <v>424.24415143278344</v>
      </c>
    </row>
    <row r="59" spans="2:15" x14ac:dyDescent="0.2">
      <c r="B59" s="72">
        <f>Sensitivity!$B$11</f>
        <v>0.22</v>
      </c>
      <c r="C59" s="72">
        <f>Sensitivity!$E$6</f>
        <v>0.22</v>
      </c>
      <c r="D59" s="11">
        <f>Inputs!$C$9</f>
        <v>750</v>
      </c>
      <c r="E59" s="47">
        <f t="shared" ref="E59:N59" si="18">D59*(1+E60)</f>
        <v>915</v>
      </c>
      <c r="F59" s="47">
        <f t="shared" si="18"/>
        <v>1116.3</v>
      </c>
      <c r="G59" s="47">
        <f t="shared" si="18"/>
        <v>1361.886</v>
      </c>
      <c r="H59" s="47">
        <f t="shared" si="18"/>
        <v>1661.50092</v>
      </c>
      <c r="I59" s="47">
        <f t="shared" si="18"/>
        <v>2027.0311224</v>
      </c>
      <c r="J59" s="47">
        <f t="shared" si="18"/>
        <v>2406.0859422888002</v>
      </c>
      <c r="K59" s="47">
        <f t="shared" si="18"/>
        <v>2776.6231774012754</v>
      </c>
      <c r="L59" s="47">
        <f t="shared" si="18"/>
        <v>3112.5945818668297</v>
      </c>
      <c r="M59" s="47">
        <f t="shared" si="18"/>
        <v>3386.5029050711109</v>
      </c>
      <c r="N59" s="47">
        <f t="shared" si="18"/>
        <v>3572.7605648500216</v>
      </c>
      <c r="O59" s="47">
        <f>E61/(1+'Business Plan &amp; DCF'!$C$6)^1+F61/(1+'Business Plan &amp; DCF'!$C$6)^2+G61/(1+'Business Plan &amp; DCF'!$C$6)^3+H61/(1+'Business Plan &amp; DCF'!$C$6)^4+I61/(1+'Business Plan &amp; DCF'!$C$6)^5+J61/(1+'Business Plan &amp; DCF'!$C$6)^6+K61/(1+'Business Plan &amp; DCF'!$C$6)^7+L61/(1+'Business Plan &amp; DCF'!$C$6)^8+M61/(1+'Business Plan &amp; DCF'!$C$6)^9+N61/(1+'Business Plan &amp; DCF'!$C$6)^10+N61*(1+'Business Plan &amp; DCF'!$C$7)/('Business Plan &amp; DCF'!$C$6-'Business Plan &amp; DCF'!$C$7)/(1+'Business Plan &amp; DCF'!$C$6)^10</f>
        <v>5182.8511505780752</v>
      </c>
    </row>
    <row r="60" spans="2:15" x14ac:dyDescent="0.2">
      <c r="E60" s="38">
        <f>$B$59</f>
        <v>0.22</v>
      </c>
      <c r="F60" s="38">
        <f>$B$59</f>
        <v>0.22</v>
      </c>
      <c r="G60" s="38">
        <f>$B$59</f>
        <v>0.22</v>
      </c>
      <c r="H60" s="38">
        <f>$B$59</f>
        <v>0.22</v>
      </c>
      <c r="I60" s="38">
        <f>$B$59</f>
        <v>0.22</v>
      </c>
      <c r="J60" s="38">
        <f>I60+('Business Plan &amp; DCF'!$C$7-$B$59)/5</f>
        <v>0.187</v>
      </c>
      <c r="K60" s="38">
        <f>J60+('Business Plan &amp; DCF'!$C$7-$B$59)/5</f>
        <v>0.154</v>
      </c>
      <c r="L60" s="38">
        <f>K60+('Business Plan &amp; DCF'!$C$7-$B$59)/5</f>
        <v>0.121</v>
      </c>
      <c r="M60" s="38">
        <f>L60+('Business Plan &amp; DCF'!$C$7-$B$59)/5</f>
        <v>8.7999999999999995E-2</v>
      </c>
      <c r="N60" s="38">
        <f>M60+('Business Plan &amp; DCF'!$C$7-$B$59)/5</f>
        <v>5.4999999999999993E-2</v>
      </c>
    </row>
    <row r="61" spans="2:15" x14ac:dyDescent="0.2">
      <c r="E61" s="47">
        <f>(E59*$C$59-E59*Inputs!$C$47)*(1-Inputs!$C$30)+E59*Inputs!$C$47-E59*Inputs!$C$48-(E59-D59)*Inputs!$C$49</f>
        <v>108.30000000000003</v>
      </c>
      <c r="F61" s="47">
        <f>(F59*$C$59-F59*Inputs!$C$47)*(1-Inputs!$C$30)+F59*Inputs!$C$47-F59*Inputs!$C$48-(F59-E59)*Inputs!$C$49</f>
        <v>132.12599999999998</v>
      </c>
      <c r="G61" s="47">
        <f>(G59*$C$59-G59*Inputs!$C$47)*(1-Inputs!$C$30)+G59*Inputs!$C$47-G59*Inputs!$C$48-(G59-F59)*Inputs!$C$49</f>
        <v>161.19371999999998</v>
      </c>
      <c r="H61" s="47">
        <f>(H59*$C$59-H59*Inputs!$C$47)*(1-Inputs!$C$30)+H59*Inputs!$C$47-H59*Inputs!$C$48-(H59-G59)*Inputs!$C$49</f>
        <v>196.65633840000004</v>
      </c>
      <c r="I61" s="47">
        <f>(I59*$C$59-I59*Inputs!$C$47)*(1-Inputs!$C$30)+I59*Inputs!$C$47-I59*Inputs!$C$48-(I59-H59)*Inputs!$C$49</f>
        <v>239.92073284800006</v>
      </c>
      <c r="J61" s="47">
        <f>(J59*$C$59-J59*Inputs!$C$47)*(1-Inputs!$C$30)+J59*Inputs!$C$47-J59*Inputs!$C$48-(J59-I59)*Inputs!$C$49</f>
        <v>291.36545353377602</v>
      </c>
      <c r="K61" s="47">
        <f>(K59*$C$59-K59*Inputs!$C$47)*(1-Inputs!$C$30)+K59*Inputs!$C$47-K59*Inputs!$C$48-(K59-J59)*Inputs!$C$49</f>
        <v>344.2627766226816</v>
      </c>
      <c r="L61" s="47">
        <f>(L59*$C$59-L59*Inputs!$C$47)*(1-Inputs!$C$30)+L59*Inputs!$C$47-L59*Inputs!$C$48-(L59-K59)*Inputs!$C$49</f>
        <v>395.44667292548962</v>
      </c>
      <c r="M61" s="47">
        <f>(M59*$C$59-M59*Inputs!$C$47)*(1-Inputs!$C$30)+M59*Inputs!$C$47-M59*Inputs!$C$48-(M59-L59)*Inputs!$C$49</f>
        <v>441.24140792544176</v>
      </c>
      <c r="N61" s="47">
        <f>(N59*$C$59-N59*Inputs!$C$47)*(1-Inputs!$C$30)+N59*Inputs!$C$47-N59*Inputs!$C$48-(N59-M59)*Inputs!$C$49</f>
        <v>477.83555990553378</v>
      </c>
    </row>
    <row r="62" spans="2:15" x14ac:dyDescent="0.2">
      <c r="B62" s="72">
        <f>Sensitivity!$B$11</f>
        <v>0.22</v>
      </c>
      <c r="C62" s="72">
        <f>Sensitivity!$F$6</f>
        <v>0.24</v>
      </c>
      <c r="D62" s="11">
        <f>Inputs!$C$9</f>
        <v>750</v>
      </c>
      <c r="E62" s="47">
        <f t="shared" ref="E62:N62" si="19">D62*(1+E63)</f>
        <v>915</v>
      </c>
      <c r="F62" s="47">
        <f t="shared" si="19"/>
        <v>1116.3</v>
      </c>
      <c r="G62" s="47">
        <f t="shared" si="19"/>
        <v>1361.886</v>
      </c>
      <c r="H62" s="47">
        <f t="shared" si="19"/>
        <v>1661.50092</v>
      </c>
      <c r="I62" s="47">
        <f t="shared" si="19"/>
        <v>2027.0311224</v>
      </c>
      <c r="J62" s="47">
        <f t="shared" si="19"/>
        <v>2406.0859422888002</v>
      </c>
      <c r="K62" s="47">
        <f t="shared" si="19"/>
        <v>2776.6231774012754</v>
      </c>
      <c r="L62" s="47">
        <f t="shared" si="19"/>
        <v>3112.5945818668297</v>
      </c>
      <c r="M62" s="47">
        <f t="shared" si="19"/>
        <v>3386.5029050711109</v>
      </c>
      <c r="N62" s="47">
        <f t="shared" si="19"/>
        <v>3572.7605648500216</v>
      </c>
      <c r="O62" s="47">
        <f>E64/(1+'Business Plan &amp; DCF'!$C$6)^1+F64/(1+'Business Plan &amp; DCF'!$C$6)^2+G64/(1+'Business Plan &amp; DCF'!$C$6)^3+H64/(1+'Business Plan &amp; DCF'!$C$6)^4+I64/(1+'Business Plan &amp; DCF'!$C$6)^5+J64/(1+'Business Plan &amp; DCF'!$C$6)^6+K64/(1+'Business Plan &amp; DCF'!$C$6)^7+L64/(1+'Business Plan &amp; DCF'!$C$6)^8+M64/(1+'Business Plan &amp; DCF'!$C$6)^9+N64/(1+'Business Plan &amp; DCF'!$C$6)^10+N64*(1+'Business Plan &amp; DCF'!$C$7)/('Business Plan &amp; DCF'!$C$6-'Business Plan &amp; DCF'!$C$7)/(1+'Business Plan &amp; DCF'!$C$6)^10</f>
        <v>5777.8951887260791</v>
      </c>
    </row>
    <row r="63" spans="2:15" x14ac:dyDescent="0.2">
      <c r="E63" s="38">
        <f>$B$62</f>
        <v>0.22</v>
      </c>
      <c r="F63" s="38">
        <f>$B$62</f>
        <v>0.22</v>
      </c>
      <c r="G63" s="38">
        <f>$B$62</f>
        <v>0.22</v>
      </c>
      <c r="H63" s="38">
        <f>$B$62</f>
        <v>0.22</v>
      </c>
      <c r="I63" s="38">
        <f>$B$62</f>
        <v>0.22</v>
      </c>
      <c r="J63" s="38">
        <f>I63+('Business Plan &amp; DCF'!$C$7-$B$62)/5</f>
        <v>0.187</v>
      </c>
      <c r="K63" s="38">
        <f>J63+('Business Plan &amp; DCF'!$C$7-$B$62)/5</f>
        <v>0.154</v>
      </c>
      <c r="L63" s="38">
        <f>K63+('Business Plan &amp; DCF'!$C$7-$B$62)/5</f>
        <v>0.121</v>
      </c>
      <c r="M63" s="38">
        <f>L63+('Business Plan &amp; DCF'!$C$7-$B$62)/5</f>
        <v>8.7999999999999995E-2</v>
      </c>
      <c r="N63" s="38">
        <f>M63+('Business Plan &amp; DCF'!$C$7-$B$62)/5</f>
        <v>5.4999999999999993E-2</v>
      </c>
    </row>
    <row r="64" spans="2:15" x14ac:dyDescent="0.2">
      <c r="E64" s="47">
        <f>(E62*$C$62-E62*Inputs!$C$47)*(1-Inputs!$C$30)+E62*Inputs!$C$47-E62*Inputs!$C$48-(E62-D62)*Inputs!$C$49</f>
        <v>122.02500000000002</v>
      </c>
      <c r="F64" s="47">
        <f>(F62*$C$62-F62*Inputs!$C$47)*(1-Inputs!$C$30)+F62*Inputs!$C$47-F62*Inputs!$C$48-(F62-E62)*Inputs!$C$49</f>
        <v>148.87049999999996</v>
      </c>
      <c r="G64" s="47">
        <f>(G62*$C$62-G62*Inputs!$C$47)*(1-Inputs!$C$30)+G62*Inputs!$C$47-G62*Inputs!$C$48-(G62-F62)*Inputs!$C$49</f>
        <v>181.62200999999999</v>
      </c>
      <c r="H64" s="47">
        <f>(H62*$C$62-H62*Inputs!$C$47)*(1-Inputs!$C$30)+H62*Inputs!$C$47-H62*Inputs!$C$48-(H62-G62)*Inputs!$C$49</f>
        <v>221.57885219999997</v>
      </c>
      <c r="I64" s="47">
        <f>(I62*$C$62-I62*Inputs!$C$47)*(1-Inputs!$C$30)+I62*Inputs!$C$47-I62*Inputs!$C$48-(I62-H62)*Inputs!$C$49</f>
        <v>270.32619968400002</v>
      </c>
      <c r="J64" s="47">
        <f>(J62*$C$62-J62*Inputs!$C$47)*(1-Inputs!$C$30)+J62*Inputs!$C$47-J62*Inputs!$C$48-(J62-I62)*Inputs!$C$49</f>
        <v>327.45674266810789</v>
      </c>
      <c r="K64" s="47">
        <f>(K62*$C$62-K62*Inputs!$C$47)*(1-Inputs!$C$30)+K62*Inputs!$C$47-K62*Inputs!$C$48-(K62-J62)*Inputs!$C$49</f>
        <v>385.91212428370062</v>
      </c>
      <c r="L64" s="47">
        <f>(L62*$C$62-L62*Inputs!$C$47)*(1-Inputs!$C$30)+L62*Inputs!$C$47-L62*Inputs!$C$48-(L62-K62)*Inputs!$C$49</f>
        <v>442.1355916534921</v>
      </c>
      <c r="M64" s="47">
        <f>(M62*$C$62-M62*Inputs!$C$47)*(1-Inputs!$C$30)+M62*Inputs!$C$47-M62*Inputs!$C$48-(M62-L62)*Inputs!$C$49</f>
        <v>492.03895150150839</v>
      </c>
      <c r="N64" s="47">
        <f>(N62*$C$62-N62*Inputs!$C$47)*(1-Inputs!$C$30)+N62*Inputs!$C$47-N62*Inputs!$C$48-(N62-M62)*Inputs!$C$49</f>
        <v>531.42696837828407</v>
      </c>
    </row>
    <row r="65" spans="2:15" x14ac:dyDescent="0.2">
      <c r="B65" s="72">
        <f>Sensitivity!$B$12</f>
        <v>0.26</v>
      </c>
      <c r="C65" s="72">
        <f>Sensitivity!$C$6</f>
        <v>0.18</v>
      </c>
      <c r="D65" s="11">
        <f>Inputs!$C$9</f>
        <v>750</v>
      </c>
      <c r="E65" s="47">
        <f t="shared" ref="E65:N65" si="20">D65*(1+E66)</f>
        <v>945</v>
      </c>
      <c r="F65" s="47">
        <f t="shared" si="20"/>
        <v>1190.7</v>
      </c>
      <c r="G65" s="47">
        <f t="shared" si="20"/>
        <v>1500.2820000000002</v>
      </c>
      <c r="H65" s="47">
        <f t="shared" si="20"/>
        <v>1890.3553200000001</v>
      </c>
      <c r="I65" s="47">
        <f t="shared" si="20"/>
        <v>2381.8477032000001</v>
      </c>
      <c r="J65" s="47">
        <f t="shared" si="20"/>
        <v>2903.4723502008001</v>
      </c>
      <c r="K65" s="47">
        <f t="shared" si="20"/>
        <v>3420.2904285365421</v>
      </c>
      <c r="L65" s="47">
        <f t="shared" si="20"/>
        <v>3888.8702172460485</v>
      </c>
      <c r="M65" s="47">
        <f t="shared" si="20"/>
        <v>4262.2017581016698</v>
      </c>
      <c r="N65" s="47">
        <f t="shared" si="20"/>
        <v>4496.6228547972614</v>
      </c>
      <c r="O65" s="47">
        <f>E67/(1+'Business Plan &amp; DCF'!$C$6)^1+F67/(1+'Business Plan &amp; DCF'!$C$6)^2+G67/(1+'Business Plan &amp; DCF'!$C$6)^3+H67/(1+'Business Plan &amp; DCF'!$C$6)^4+I67/(1+'Business Plan &amp; DCF'!$C$6)^5+J67/(1+'Business Plan &amp; DCF'!$C$6)^6+K67/(1+'Business Plan &amp; DCF'!$C$6)^7+L67/(1+'Business Plan &amp; DCF'!$C$6)^8+M67/(1+'Business Plan &amp; DCF'!$C$6)^9+N67/(1+'Business Plan &amp; DCF'!$C$6)^10+N67*(1+'Business Plan &amp; DCF'!$C$7)/('Business Plan &amp; DCF'!$C$6-'Business Plan &amp; DCF'!$C$7)/(1+'Business Plan &amp; DCF'!$C$6)^10</f>
        <v>4917.7290498395651</v>
      </c>
    </row>
    <row r="66" spans="2:15" x14ac:dyDescent="0.2">
      <c r="E66" s="38">
        <f>$B$65</f>
        <v>0.26</v>
      </c>
      <c r="F66" s="38">
        <f>$B$65</f>
        <v>0.26</v>
      </c>
      <c r="G66" s="38">
        <f>$B$65</f>
        <v>0.26</v>
      </c>
      <c r="H66" s="38">
        <f>$B$65</f>
        <v>0.26</v>
      </c>
      <c r="I66" s="38">
        <f>$B$65</f>
        <v>0.26</v>
      </c>
      <c r="J66" s="38">
        <f>I66+('Business Plan &amp; DCF'!$C$7-$B$65)/5</f>
        <v>0.219</v>
      </c>
      <c r="K66" s="38">
        <f>J66+('Business Plan &amp; DCF'!$C$7-$B$65)/5</f>
        <v>0.17799999999999999</v>
      </c>
      <c r="L66" s="38">
        <f>K66+('Business Plan &amp; DCF'!$C$7-$B$65)/5</f>
        <v>0.13699999999999998</v>
      </c>
      <c r="M66" s="38">
        <f>L66+('Business Plan &amp; DCF'!$C$7-$B$65)/5</f>
        <v>9.5999999999999974E-2</v>
      </c>
      <c r="N66" s="38">
        <f>M66+('Business Plan &amp; DCF'!$C$7-$B$65)/5</f>
        <v>5.4999999999999973E-2</v>
      </c>
    </row>
    <row r="67" spans="2:15" x14ac:dyDescent="0.2">
      <c r="E67" s="47">
        <f>(E65*$C$65-E65*Inputs!$C$47)*(1-Inputs!$C$30)+E65*Inputs!$C$47-E65*Inputs!$C$48-(E65-D65)*Inputs!$C$49</f>
        <v>80.549999999999983</v>
      </c>
      <c r="F67" s="47">
        <f>(F65*$C$65-F65*Inputs!$C$47)*(1-Inputs!$C$30)+F65*Inputs!$C$47-F65*Inputs!$C$48-(F65-E65)*Inputs!$C$49</f>
        <v>101.49299999999999</v>
      </c>
      <c r="G67" s="47">
        <f>(G65*$C$65-G65*Inputs!$C$47)*(1-Inputs!$C$30)+G65*Inputs!$C$47-G65*Inputs!$C$48-(G65-F65)*Inputs!$C$49</f>
        <v>127.88118</v>
      </c>
      <c r="H67" s="47">
        <f>(H65*$C$65-H65*Inputs!$C$47)*(1-Inputs!$C$30)+H65*Inputs!$C$47-H65*Inputs!$C$48-(H65-G65)*Inputs!$C$49</f>
        <v>161.13028680000002</v>
      </c>
      <c r="I67" s="47">
        <f>(I65*$C$65-I65*Inputs!$C$47)*(1-Inputs!$C$30)+I65*Inputs!$C$47-I65*Inputs!$C$48-(I65-H65)*Inputs!$C$49</f>
        <v>203.02416136800002</v>
      </c>
      <c r="J67" s="47">
        <f>(J65*$C$65-J65*Inputs!$C$47)*(1-Inputs!$C$30)+J65*Inputs!$C$47-J65*Inputs!$C$48-(J65-I65)*Inputs!$C$49</f>
        <v>256.78700088199196</v>
      </c>
      <c r="K67" s="47">
        <f>(K65*$C$65-K65*Inputs!$C$47)*(1-Inputs!$C$30)+K65*Inputs!$C$47-K65*Inputs!$C$48-(K65-J65)*Inputs!$C$49</f>
        <v>314.21377773873058</v>
      </c>
      <c r="L67" s="47">
        <f>(L65*$C$65-L65*Inputs!$C$47)*(1-Inputs!$C$30)+L65*Inputs!$C$47-L65*Inputs!$C$48-(L65-K65)*Inputs!$C$49</f>
        <v>371.54614925192453</v>
      </c>
      <c r="M67" s="47">
        <f>(M65*$C$65-M65*Inputs!$C$47)*(1-Inputs!$C$30)+M65*Inputs!$C$47-M65*Inputs!$C$48-(M65-L65)*Inputs!$C$49</f>
        <v>424.04240848850907</v>
      </c>
      <c r="N67" s="47">
        <f>(N65*$C$65-N65*Inputs!$C$47)*(1-Inputs!$C$30)+N65*Inputs!$C$47-N65*Inputs!$C$48-(N65-M65)*Inputs!$C$49</f>
        <v>466.49798242422776</v>
      </c>
    </row>
    <row r="68" spans="2:15" x14ac:dyDescent="0.2">
      <c r="B68" s="72">
        <f>Sensitivity!$B$12</f>
        <v>0.26</v>
      </c>
      <c r="C68" s="72">
        <f>Sensitivity!$D$6</f>
        <v>0.2</v>
      </c>
      <c r="D68" s="11">
        <f>Inputs!$C$9</f>
        <v>750</v>
      </c>
      <c r="E68" s="47">
        <f t="shared" ref="E68:N68" si="21">D68*(1+E69)</f>
        <v>945</v>
      </c>
      <c r="F68" s="47">
        <f t="shared" si="21"/>
        <v>1190.7</v>
      </c>
      <c r="G68" s="47">
        <f t="shared" si="21"/>
        <v>1500.2820000000002</v>
      </c>
      <c r="H68" s="47">
        <f t="shared" si="21"/>
        <v>1890.3553200000001</v>
      </c>
      <c r="I68" s="47">
        <f t="shared" si="21"/>
        <v>2381.8477032000001</v>
      </c>
      <c r="J68" s="47">
        <f t="shared" si="21"/>
        <v>2903.4723502008001</v>
      </c>
      <c r="K68" s="47">
        <f t="shared" si="21"/>
        <v>3420.2904285365421</v>
      </c>
      <c r="L68" s="47">
        <f t="shared" si="21"/>
        <v>3888.8702172460485</v>
      </c>
      <c r="M68" s="47">
        <f t="shared" si="21"/>
        <v>4262.2017581016698</v>
      </c>
      <c r="N68" s="47">
        <f t="shared" si="21"/>
        <v>4496.6228547972614</v>
      </c>
      <c r="O68" s="47">
        <f>E70/(1+'Business Plan &amp; DCF'!$C$6)^1+F70/(1+'Business Plan &amp; DCF'!$C$6)^2+G70/(1+'Business Plan &amp; DCF'!$C$6)^3+H70/(1+'Business Plan &amp; DCF'!$C$6)^4+I70/(1+'Business Plan &amp; DCF'!$C$6)^5+J70/(1+'Business Plan &amp; DCF'!$C$6)^6+K70/(1+'Business Plan &amp; DCF'!$C$6)^7+L70/(1+'Business Plan &amp; DCF'!$C$6)^8+M70/(1+'Business Plan &amp; DCF'!$C$6)^9+N70/(1+'Business Plan &amp; DCF'!$C$6)^10+N70*(1+'Business Plan &amp; DCF'!$C$7)/('Business Plan &amp; DCF'!$C$6-'Business Plan &amp; DCF'!$C$7)/(1+'Business Plan &amp; DCF'!$C$6)^10</f>
        <v>5653.4918676559109</v>
      </c>
    </row>
    <row r="69" spans="2:15" x14ac:dyDescent="0.2">
      <c r="E69" s="38">
        <f>$B$68</f>
        <v>0.26</v>
      </c>
      <c r="F69" s="38">
        <f>$B$68</f>
        <v>0.26</v>
      </c>
      <c r="G69" s="38">
        <f>$B$68</f>
        <v>0.26</v>
      </c>
      <c r="H69" s="38">
        <f>$B$68</f>
        <v>0.26</v>
      </c>
      <c r="I69" s="38">
        <f>$B$68</f>
        <v>0.26</v>
      </c>
      <c r="J69" s="38">
        <f>I69+('Business Plan &amp; DCF'!$C$7-$B$68)/5</f>
        <v>0.219</v>
      </c>
      <c r="K69" s="38">
        <f>J69+('Business Plan &amp; DCF'!$C$7-$B$68)/5</f>
        <v>0.17799999999999999</v>
      </c>
      <c r="L69" s="38">
        <f>K69+('Business Plan &amp; DCF'!$C$7-$B$68)/5</f>
        <v>0.13699999999999998</v>
      </c>
      <c r="M69" s="38">
        <f>L69+('Business Plan &amp; DCF'!$C$7-$B$68)/5</f>
        <v>9.5999999999999974E-2</v>
      </c>
      <c r="N69" s="38">
        <f>M69+('Business Plan &amp; DCF'!$C$7-$B$68)/5</f>
        <v>5.4999999999999973E-2</v>
      </c>
    </row>
    <row r="70" spans="2:15" x14ac:dyDescent="0.2">
      <c r="E70" s="47">
        <f>(E68*$C$68-E68*Inputs!$C$47)*(1-Inputs!$C$30)+E68*Inputs!$C$47-E68*Inputs!$C$48-(E68-D68)*Inputs!$C$49</f>
        <v>94.724999999999994</v>
      </c>
      <c r="F70" s="47">
        <f>(F68*$C$68-F68*Inputs!$C$47)*(1-Inputs!$C$30)+F68*Inputs!$C$47-F68*Inputs!$C$48-(F68-E68)*Inputs!$C$49</f>
        <v>119.3535</v>
      </c>
      <c r="G70" s="47">
        <f>(G68*$C$68-G68*Inputs!$C$47)*(1-Inputs!$C$30)+G68*Inputs!$C$47-G68*Inputs!$C$48-(G68-F68)*Inputs!$C$49</f>
        <v>150.38541000000001</v>
      </c>
      <c r="H70" s="47">
        <f>(H68*$C$68-H68*Inputs!$C$47)*(1-Inputs!$C$30)+H68*Inputs!$C$47-H68*Inputs!$C$48-(H68-G68)*Inputs!$C$49</f>
        <v>189.48561660000001</v>
      </c>
      <c r="I70" s="47">
        <f>(I68*$C$68-I68*Inputs!$C$47)*(1-Inputs!$C$30)+I68*Inputs!$C$47-I68*Inputs!$C$48-(I68-H68)*Inputs!$C$49</f>
        <v>238.75187691600007</v>
      </c>
      <c r="J70" s="47">
        <f>(J68*$C$68-J68*Inputs!$C$47)*(1-Inputs!$C$30)+J68*Inputs!$C$47-J68*Inputs!$C$48-(J68-I68)*Inputs!$C$49</f>
        <v>300.3390861350041</v>
      </c>
      <c r="K70" s="47">
        <f>(K68*$C$68-K68*Inputs!$C$47)*(1-Inputs!$C$30)+K68*Inputs!$C$47-K68*Inputs!$C$48-(K68-J68)*Inputs!$C$49</f>
        <v>365.51813416677879</v>
      </c>
      <c r="L70" s="47">
        <f>(L68*$C$68-L68*Inputs!$C$47)*(1-Inputs!$C$30)+L68*Inputs!$C$47-L68*Inputs!$C$48-(L68-K68)*Inputs!$C$49</f>
        <v>429.87920251061536</v>
      </c>
      <c r="M70" s="47">
        <f>(M68*$C$68-M68*Inputs!$C$47)*(1-Inputs!$C$30)+M68*Inputs!$C$47-M68*Inputs!$C$48-(M68-L68)*Inputs!$C$49</f>
        <v>487.97543486003417</v>
      </c>
      <c r="N70" s="47">
        <f>(N68*$C$68-N68*Inputs!$C$47)*(1-Inputs!$C$30)+N68*Inputs!$C$47-N68*Inputs!$C$48-(N68-M68)*Inputs!$C$49</f>
        <v>533.94732524618678</v>
      </c>
    </row>
    <row r="71" spans="2:15" x14ac:dyDescent="0.2">
      <c r="B71" s="72">
        <f>Sensitivity!$B$12</f>
        <v>0.26</v>
      </c>
      <c r="C71" s="72">
        <f>Sensitivity!$E$6</f>
        <v>0.22</v>
      </c>
      <c r="D71" s="11">
        <f>Inputs!$C$9</f>
        <v>750</v>
      </c>
      <c r="E71" s="47">
        <f t="shared" ref="E71:N71" si="22">D71*(1+E72)</f>
        <v>945</v>
      </c>
      <c r="F71" s="47">
        <f t="shared" si="22"/>
        <v>1190.7</v>
      </c>
      <c r="G71" s="47">
        <f t="shared" si="22"/>
        <v>1500.2820000000002</v>
      </c>
      <c r="H71" s="47">
        <f t="shared" si="22"/>
        <v>1890.3553200000001</v>
      </c>
      <c r="I71" s="47">
        <f t="shared" si="22"/>
        <v>2381.8477032000001</v>
      </c>
      <c r="J71" s="47">
        <f t="shared" si="22"/>
        <v>2903.4723502008001</v>
      </c>
      <c r="K71" s="47">
        <f t="shared" si="22"/>
        <v>3420.2904285365421</v>
      </c>
      <c r="L71" s="47">
        <f t="shared" si="22"/>
        <v>3888.8702172460485</v>
      </c>
      <c r="M71" s="47">
        <f t="shared" si="22"/>
        <v>4262.2017581016698</v>
      </c>
      <c r="N71" s="47">
        <f t="shared" si="22"/>
        <v>4496.6228547972614</v>
      </c>
      <c r="O71" s="47">
        <f>E73/(1+'Business Plan &amp; DCF'!$C$6)^1+F73/(1+'Business Plan &amp; DCF'!$C$6)^2+G73/(1+'Business Plan &amp; DCF'!$C$6)^3+H73/(1+'Business Plan &amp; DCF'!$C$6)^4+I73/(1+'Business Plan &amp; DCF'!$C$6)^5+J73/(1+'Business Plan &amp; DCF'!$C$6)^6+K73/(1+'Business Plan &amp; DCF'!$C$6)^7+L73/(1+'Business Plan &amp; DCF'!$C$6)^8+M73/(1+'Business Plan &amp; DCF'!$C$6)^9+N73/(1+'Business Plan &amp; DCF'!$C$6)^10+N73*(1+'Business Plan &amp; DCF'!$C$7)/('Business Plan &amp; DCF'!$C$6-'Business Plan &amp; DCF'!$C$7)/(1+'Business Plan &amp; DCF'!$C$6)^10</f>
        <v>6389.2546854722559</v>
      </c>
    </row>
    <row r="72" spans="2:15" x14ac:dyDescent="0.2">
      <c r="E72" s="38">
        <f>$B$71</f>
        <v>0.26</v>
      </c>
      <c r="F72" s="38">
        <f>$B$71</f>
        <v>0.26</v>
      </c>
      <c r="G72" s="38">
        <f>$B$71</f>
        <v>0.26</v>
      </c>
      <c r="H72" s="38">
        <f>$B$71</f>
        <v>0.26</v>
      </c>
      <c r="I72" s="38">
        <f>$B$71</f>
        <v>0.26</v>
      </c>
      <c r="J72" s="38">
        <f>I72+('Business Plan &amp; DCF'!$C$7-$B$71)/5</f>
        <v>0.219</v>
      </c>
      <c r="K72" s="38">
        <f>J72+('Business Plan &amp; DCF'!$C$7-$B$71)/5</f>
        <v>0.17799999999999999</v>
      </c>
      <c r="L72" s="38">
        <f>K72+('Business Plan &amp; DCF'!$C$7-$B$71)/5</f>
        <v>0.13699999999999998</v>
      </c>
      <c r="M72" s="38">
        <f>L72+('Business Plan &amp; DCF'!$C$7-$B$71)/5</f>
        <v>9.5999999999999974E-2</v>
      </c>
      <c r="N72" s="38">
        <f>M72+('Business Plan &amp; DCF'!$C$7-$B$71)/5</f>
        <v>5.4999999999999973E-2</v>
      </c>
    </row>
    <row r="73" spans="2:15" x14ac:dyDescent="0.2">
      <c r="E73" s="47">
        <f>(E71*$C$71-E71*Inputs!$C$47)*(1-Inputs!$C$30)+E71*Inputs!$C$47-E71*Inputs!$C$48-(E71-D71)*Inputs!$C$49</f>
        <v>108.9</v>
      </c>
      <c r="F73" s="47">
        <f>(F71*$C$71-F71*Inputs!$C$47)*(1-Inputs!$C$30)+F71*Inputs!$C$47-F71*Inputs!$C$48-(F71-E71)*Inputs!$C$49</f>
        <v>137.214</v>
      </c>
      <c r="G73" s="47">
        <f>(G71*$C$71-G71*Inputs!$C$47)*(1-Inputs!$C$30)+G71*Inputs!$C$47-G71*Inputs!$C$48-(G71-F71)*Inputs!$C$49</f>
        <v>172.88964000000001</v>
      </c>
      <c r="H73" s="47">
        <f>(H71*$C$71-H71*Inputs!$C$47)*(1-Inputs!$C$30)+H71*Inputs!$C$47-H71*Inputs!$C$48-(H71-G71)*Inputs!$C$49</f>
        <v>217.84094640000006</v>
      </c>
      <c r="I73" s="47">
        <f>(I71*$C$71-I71*Inputs!$C$47)*(1-Inputs!$C$30)+I71*Inputs!$C$47-I71*Inputs!$C$48-(I71-H71)*Inputs!$C$49</f>
        <v>274.47959246400006</v>
      </c>
      <c r="J73" s="47">
        <f>(J71*$C$71-J71*Inputs!$C$47)*(1-Inputs!$C$30)+J71*Inputs!$C$47-J71*Inputs!$C$48-(J71-I71)*Inputs!$C$49</f>
        <v>343.89117138801601</v>
      </c>
      <c r="K73" s="47">
        <f>(K71*$C$71-K71*Inputs!$C$47)*(1-Inputs!$C$30)+K71*Inputs!$C$47-K71*Inputs!$C$48-(K71-J71)*Inputs!$C$49</f>
        <v>416.82249059482689</v>
      </c>
      <c r="L73" s="47">
        <f>(L71*$C$71-L71*Inputs!$C$47)*(1-Inputs!$C$30)+L71*Inputs!$C$47-L71*Inputs!$C$48-(L71-K71)*Inputs!$C$49</f>
        <v>488.21225576930618</v>
      </c>
      <c r="M73" s="47">
        <f>(M71*$C$71-M71*Inputs!$C$47)*(1-Inputs!$C$30)+M71*Inputs!$C$47-M71*Inputs!$C$48-(M71-L71)*Inputs!$C$49</f>
        <v>551.90846123155927</v>
      </c>
      <c r="N73" s="47">
        <f>(N71*$C$71-N71*Inputs!$C$47)*(1-Inputs!$C$30)+N71*Inputs!$C$47-N71*Inputs!$C$48-(N71-M71)*Inputs!$C$49</f>
        <v>601.39666806814569</v>
      </c>
    </row>
    <row r="74" spans="2:15" x14ac:dyDescent="0.2">
      <c r="B74" s="72">
        <f>Sensitivity!$B$12</f>
        <v>0.26</v>
      </c>
      <c r="C74" s="72">
        <f>Sensitivity!$F$6</f>
        <v>0.24</v>
      </c>
      <c r="D74" s="11">
        <f>Inputs!$C$9</f>
        <v>750</v>
      </c>
      <c r="E74" s="47">
        <f t="shared" ref="E74:N74" si="23">D74*(1+E75)</f>
        <v>945</v>
      </c>
      <c r="F74" s="47">
        <f t="shared" si="23"/>
        <v>1190.7</v>
      </c>
      <c r="G74" s="47">
        <f t="shared" si="23"/>
        <v>1500.2820000000002</v>
      </c>
      <c r="H74" s="47">
        <f t="shared" si="23"/>
        <v>1890.3553200000001</v>
      </c>
      <c r="I74" s="47">
        <f t="shared" si="23"/>
        <v>2381.8477032000001</v>
      </c>
      <c r="J74" s="47">
        <f t="shared" si="23"/>
        <v>2903.4723502008001</v>
      </c>
      <c r="K74" s="47">
        <f t="shared" si="23"/>
        <v>3420.2904285365421</v>
      </c>
      <c r="L74" s="47">
        <f t="shared" si="23"/>
        <v>3888.8702172460485</v>
      </c>
      <c r="M74" s="47">
        <f t="shared" si="23"/>
        <v>4262.2017581016698</v>
      </c>
      <c r="N74" s="47">
        <f t="shared" si="23"/>
        <v>4496.6228547972614</v>
      </c>
      <c r="O74" s="47">
        <f>E76/(1+'Business Plan &amp; DCF'!$C$6)^1+F76/(1+'Business Plan &amp; DCF'!$C$6)^2+G76/(1+'Business Plan &amp; DCF'!$C$6)^3+H76/(1+'Business Plan &amp; DCF'!$C$6)^4+I76/(1+'Business Plan &amp; DCF'!$C$6)^5+J76/(1+'Business Plan &amp; DCF'!$C$6)^6+K76/(1+'Business Plan &amp; DCF'!$C$6)^7+L76/(1+'Business Plan &amp; DCF'!$C$6)^8+M76/(1+'Business Plan &amp; DCF'!$C$6)^9+N76/(1+'Business Plan &amp; DCF'!$C$6)^10+N76*(1+'Business Plan &amp; DCF'!$C$7)/('Business Plan &amp; DCF'!$C$6-'Business Plan &amp; DCF'!$C$7)/(1+'Business Plan &amp; DCF'!$C$6)^10</f>
        <v>7125.0175032886018</v>
      </c>
    </row>
    <row r="75" spans="2:15" x14ac:dyDescent="0.2">
      <c r="E75" s="38">
        <f>$B$74</f>
        <v>0.26</v>
      </c>
      <c r="F75" s="38">
        <f>$B$74</f>
        <v>0.26</v>
      </c>
      <c r="G75" s="38">
        <f>$B$74</f>
        <v>0.26</v>
      </c>
      <c r="H75" s="38">
        <f>$B$74</f>
        <v>0.26</v>
      </c>
      <c r="I75" s="38">
        <f>$B$74</f>
        <v>0.26</v>
      </c>
      <c r="J75" s="38">
        <f>I75+('Business Plan &amp; DCF'!$C$7-$B$74)/5</f>
        <v>0.219</v>
      </c>
      <c r="K75" s="38">
        <f>J75+('Business Plan &amp; DCF'!$C$7-$B$74)/5</f>
        <v>0.17799999999999999</v>
      </c>
      <c r="L75" s="38">
        <f>K75+('Business Plan &amp; DCF'!$C$7-$B$74)/5</f>
        <v>0.13699999999999998</v>
      </c>
      <c r="M75" s="38">
        <f>L75+('Business Plan &amp; DCF'!$C$7-$B$74)/5</f>
        <v>9.5999999999999974E-2</v>
      </c>
      <c r="N75" s="38">
        <f>M75+('Business Plan &amp; DCF'!$C$7-$B$74)/5</f>
        <v>5.4999999999999973E-2</v>
      </c>
    </row>
    <row r="76" spans="2:15" x14ac:dyDescent="0.2">
      <c r="E76" s="47">
        <f>(E74*$C$74-E74*Inputs!$C$47)*(1-Inputs!$C$30)+E74*Inputs!$C$47-E74*Inputs!$C$48-(E74-D74)*Inputs!$C$49</f>
        <v>123.07499999999999</v>
      </c>
      <c r="F76" s="47">
        <f>(F74*$C$74-F74*Inputs!$C$47)*(1-Inputs!$C$30)+F74*Inputs!$C$47-F74*Inputs!$C$48-(F74-E74)*Inputs!$C$49</f>
        <v>155.07449999999994</v>
      </c>
      <c r="G76" s="47">
        <f>(G74*$C$74-G74*Inputs!$C$47)*(1-Inputs!$C$30)+G74*Inputs!$C$47-G74*Inputs!$C$48-(G74-F74)*Inputs!$C$49</f>
        <v>195.39386999999996</v>
      </c>
      <c r="H76" s="47">
        <f>(H74*$C$74-H74*Inputs!$C$47)*(1-Inputs!$C$30)+H74*Inputs!$C$47-H74*Inputs!$C$48-(H74-G74)*Inputs!$C$49</f>
        <v>246.1962762</v>
      </c>
      <c r="I76" s="47">
        <f>(I74*$C$74-I74*Inputs!$C$47)*(1-Inputs!$C$30)+I74*Inputs!$C$47-I74*Inputs!$C$48-(I74-H74)*Inputs!$C$49</f>
        <v>310.20730801200006</v>
      </c>
      <c r="J76" s="47">
        <f>(J74*$C$74-J74*Inputs!$C$47)*(1-Inputs!$C$30)+J74*Inputs!$C$47-J74*Inputs!$C$48-(J74-I74)*Inputs!$C$49</f>
        <v>387.44325664102803</v>
      </c>
      <c r="K76" s="47">
        <f>(K74*$C$74-K74*Inputs!$C$47)*(1-Inputs!$C$30)+K74*Inputs!$C$47-K74*Inputs!$C$48-(K74-J74)*Inputs!$C$49</f>
        <v>468.12684702287493</v>
      </c>
      <c r="L76" s="47">
        <f>(L74*$C$74-L74*Inputs!$C$47)*(1-Inputs!$C$30)+L74*Inputs!$C$47-L74*Inputs!$C$48-(L74-K74)*Inputs!$C$49</f>
        <v>546.54530902799672</v>
      </c>
      <c r="M76" s="47">
        <f>(M74*$C$74-M74*Inputs!$C$47)*(1-Inputs!$C$30)+M74*Inputs!$C$47-M74*Inputs!$C$48-(M74-L74)*Inputs!$C$49</f>
        <v>615.84148760308426</v>
      </c>
      <c r="N76" s="47">
        <f>(N74*$C$74-N74*Inputs!$C$47)*(1-Inputs!$C$30)+N74*Inputs!$C$47-N74*Inputs!$C$48-(N74-M74)*Inputs!$C$49</f>
        <v>668.84601089010459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Market</vt:lpstr>
      <vt:lpstr>Business Plan &amp; DCF</vt:lpstr>
      <vt:lpstr>Synergies</vt:lpstr>
      <vt:lpstr>Precedents</vt:lpstr>
      <vt:lpstr>Accretion</vt:lpstr>
      <vt:lpstr>Sensitivity</vt:lpstr>
      <vt:lpstr>Football Field</vt:lpstr>
      <vt:lpstr>Sources</vt:lpstr>
      <vt:lpstr>SensCalc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Dhruv Jain</cp:lastModifiedBy>
  <cp:revision>1</cp:revision>
  <dcterms:created xsi:type="dcterms:W3CDTF">2026-10-18T06:46:35Z</dcterms:created>
  <dcterms:modified xsi:type="dcterms:W3CDTF">2026-10-18T07:48:03Z</dcterms:modified>
  <dc:language>en-US</dc:language>
</cp:coreProperties>
</file>